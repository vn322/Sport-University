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КУча\"/>
    </mc:Choice>
  </mc:AlternateContent>
  <bookViews>
    <workbookView xWindow="0" yWindow="0" windowWidth="16290" windowHeight="9000" tabRatio="773" firstSheet="2" activeTab="2"/>
  </bookViews>
  <sheets>
    <sheet name="Summ" sheetId="9" r:id="rId1"/>
    <sheet name="общая сводка" sheetId="1" r:id="rId2"/>
    <sheet name="экономичность (иппон-сейо-нагэ)" sheetId="2" r:id="rId3"/>
    <sheet name="экономичность (суми-гаэши)" sheetId="7" r:id="rId4"/>
    <sheet name="экономичность (кеса-гатамэ)" sheetId="8" r:id="rId5"/>
    <sheet name="вариативность (броски)" sheetId="3" r:id="rId6"/>
    <sheet name="вариативность (удержания)" sheetId="6" r:id="rId7"/>
    <sheet name="эффективность" sheetId="4" r:id="rId8"/>
    <sheet name="стабильность" sheetId="5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6" i="1"/>
  <c r="I9" i="1"/>
  <c r="I12" i="1"/>
  <c r="I15" i="1"/>
  <c r="I18" i="1"/>
  <c r="I21" i="1"/>
  <c r="I24" i="1"/>
  <c r="I27" i="1"/>
  <c r="G13" i="5"/>
  <c r="G35" i="5"/>
  <c r="G34" i="5"/>
  <c r="G33" i="5"/>
  <c r="G32" i="5"/>
  <c r="G36" i="5" s="1"/>
  <c r="G31" i="5"/>
  <c r="G30" i="5"/>
  <c r="G29" i="5"/>
  <c r="G28" i="5"/>
  <c r="G27" i="5"/>
  <c r="G26" i="5"/>
  <c r="E30" i="4"/>
  <c r="E29" i="4"/>
  <c r="E28" i="4"/>
  <c r="E27" i="4"/>
  <c r="E26" i="4"/>
  <c r="E25" i="4"/>
  <c r="E24" i="4"/>
  <c r="E23" i="4"/>
  <c r="E22" i="4"/>
  <c r="E21" i="4"/>
  <c r="B51" i="6"/>
  <c r="E19" i="6"/>
  <c r="E50" i="6"/>
  <c r="B47" i="6"/>
  <c r="K43" i="6"/>
  <c r="J43" i="6"/>
  <c r="I43" i="6"/>
  <c r="H43" i="6"/>
  <c r="G43" i="6"/>
  <c r="F43" i="6"/>
  <c r="E43" i="6"/>
  <c r="D43" i="6"/>
  <c r="C43" i="6"/>
  <c r="B43" i="6"/>
  <c r="L42" i="6"/>
  <c r="L41" i="6"/>
  <c r="L40" i="6"/>
  <c r="L39" i="6"/>
  <c r="L38" i="6"/>
  <c r="L37" i="6"/>
  <c r="L36" i="6"/>
  <c r="L35" i="6"/>
  <c r="L33" i="6"/>
  <c r="E67" i="3"/>
  <c r="B68" i="3"/>
  <c r="B65" i="3"/>
  <c r="B23" i="3"/>
  <c r="N21" i="3" s="1"/>
  <c r="K59" i="3"/>
  <c r="J59" i="3"/>
  <c r="I59" i="3"/>
  <c r="H59" i="3"/>
  <c r="G59" i="3"/>
  <c r="F59" i="3"/>
  <c r="E59" i="3"/>
  <c r="D59" i="3"/>
  <c r="C59" i="3"/>
  <c r="B59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J21" i="2"/>
  <c r="J22" i="2"/>
  <c r="J23" i="2"/>
  <c r="J24" i="2"/>
  <c r="J25" i="2"/>
  <c r="J26" i="2"/>
  <c r="J27" i="2"/>
  <c r="J28" i="2"/>
  <c r="J29" i="2"/>
  <c r="J20" i="2"/>
  <c r="H30" i="8"/>
  <c r="J30" i="8" s="1"/>
  <c r="G30" i="8"/>
  <c r="H29" i="8"/>
  <c r="J29" i="8" s="1"/>
  <c r="G29" i="8"/>
  <c r="H28" i="8"/>
  <c r="J28" i="8" s="1"/>
  <c r="G28" i="8"/>
  <c r="H27" i="8"/>
  <c r="J27" i="8" s="1"/>
  <c r="G27" i="8"/>
  <c r="H26" i="8"/>
  <c r="J26" i="8" s="1"/>
  <c r="G26" i="8"/>
  <c r="H25" i="8"/>
  <c r="J25" i="8" s="1"/>
  <c r="G25" i="8"/>
  <c r="H24" i="8"/>
  <c r="J24" i="8" s="1"/>
  <c r="G24" i="8"/>
  <c r="J23" i="8"/>
  <c r="H23" i="8"/>
  <c r="G23" i="8"/>
  <c r="H22" i="8"/>
  <c r="J22" i="8" s="1"/>
  <c r="G22" i="8"/>
  <c r="L21" i="8"/>
  <c r="H21" i="8"/>
  <c r="G21" i="8"/>
  <c r="H32" i="7"/>
  <c r="J32" i="7" s="1"/>
  <c r="G32" i="7"/>
  <c r="J31" i="7"/>
  <c r="H31" i="7"/>
  <c r="G31" i="7"/>
  <c r="H30" i="7"/>
  <c r="J30" i="7" s="1"/>
  <c r="G30" i="7"/>
  <c r="H29" i="7"/>
  <c r="J29" i="7" s="1"/>
  <c r="G29" i="7"/>
  <c r="H28" i="7"/>
  <c r="J28" i="7" s="1"/>
  <c r="G28" i="7"/>
  <c r="J27" i="7"/>
  <c r="H27" i="7"/>
  <c r="G27" i="7"/>
  <c r="H26" i="7"/>
  <c r="J26" i="7" s="1"/>
  <c r="G26" i="7"/>
  <c r="H25" i="7"/>
  <c r="J25" i="7" s="1"/>
  <c r="G25" i="7"/>
  <c r="J24" i="7"/>
  <c r="H24" i="7"/>
  <c r="G24" i="7"/>
  <c r="L23" i="7"/>
  <c r="H23" i="7"/>
  <c r="G23" i="7"/>
  <c r="J6" i="2"/>
  <c r="J3" i="2"/>
  <c r="L20" i="2"/>
  <c r="H21" i="2"/>
  <c r="H22" i="2"/>
  <c r="H23" i="2"/>
  <c r="H24" i="2"/>
  <c r="H25" i="2"/>
  <c r="H26" i="2"/>
  <c r="H27" i="2"/>
  <c r="H28" i="2"/>
  <c r="H29" i="2"/>
  <c r="H20" i="2"/>
  <c r="G21" i="2"/>
  <c r="G22" i="2"/>
  <c r="G23" i="2"/>
  <c r="G24" i="2"/>
  <c r="G25" i="2"/>
  <c r="G26" i="2"/>
  <c r="G27" i="2"/>
  <c r="G28" i="2"/>
  <c r="G29" i="2"/>
  <c r="G20" i="2"/>
  <c r="G6" i="5"/>
  <c r="J12" i="1" s="1"/>
  <c r="J15" i="1"/>
  <c r="J27" i="1"/>
  <c r="G4" i="5"/>
  <c r="J6" i="1" s="1"/>
  <c r="G5" i="5"/>
  <c r="J9" i="1" s="1"/>
  <c r="G7" i="5"/>
  <c r="G8" i="5"/>
  <c r="J18" i="1" s="1"/>
  <c r="G9" i="5"/>
  <c r="J21" i="1" s="1"/>
  <c r="G10" i="5"/>
  <c r="J24" i="1" s="1"/>
  <c r="G11" i="5"/>
  <c r="G12" i="5"/>
  <c r="J30" i="1" s="1"/>
  <c r="G3" i="5"/>
  <c r="J3" i="1" s="1"/>
  <c r="L3" i="8"/>
  <c r="H12" i="8"/>
  <c r="J12" i="8" s="1"/>
  <c r="G12" i="8"/>
  <c r="H11" i="8"/>
  <c r="J11" i="8" s="1"/>
  <c r="G11" i="8"/>
  <c r="H10" i="8"/>
  <c r="J10" i="8" s="1"/>
  <c r="G10" i="8"/>
  <c r="H9" i="8"/>
  <c r="J9" i="8" s="1"/>
  <c r="G9" i="8"/>
  <c r="H8" i="8"/>
  <c r="J8" i="8" s="1"/>
  <c r="G8" i="8"/>
  <c r="H7" i="8"/>
  <c r="J7" i="8" s="1"/>
  <c r="G7" i="8"/>
  <c r="H6" i="8"/>
  <c r="J6" i="8" s="1"/>
  <c r="G6" i="8"/>
  <c r="H5" i="8"/>
  <c r="J5" i="8" s="1"/>
  <c r="G5" i="8"/>
  <c r="H4" i="8"/>
  <c r="J4" i="8" s="1"/>
  <c r="G4" i="8"/>
  <c r="H3" i="8"/>
  <c r="J3" i="8" s="1"/>
  <c r="G3" i="8"/>
  <c r="L3" i="2"/>
  <c r="L3" i="7"/>
  <c r="J4" i="7"/>
  <c r="J8" i="7"/>
  <c r="J12" i="7"/>
  <c r="H12" i="7"/>
  <c r="G12" i="7"/>
  <c r="H11" i="7"/>
  <c r="J11" i="7" s="1"/>
  <c r="G11" i="7"/>
  <c r="H10" i="7"/>
  <c r="J10" i="7" s="1"/>
  <c r="G10" i="7"/>
  <c r="H9" i="7"/>
  <c r="J9" i="7" s="1"/>
  <c r="G9" i="7"/>
  <c r="H8" i="7"/>
  <c r="G8" i="7"/>
  <c r="H7" i="7"/>
  <c r="J7" i="7" s="1"/>
  <c r="G7" i="7"/>
  <c r="H6" i="7"/>
  <c r="J6" i="7" s="1"/>
  <c r="G6" i="7"/>
  <c r="H5" i="7"/>
  <c r="J5" i="7" s="1"/>
  <c r="G5" i="7"/>
  <c r="H4" i="7"/>
  <c r="G4" i="7"/>
  <c r="H3" i="7"/>
  <c r="J3" i="7" s="1"/>
  <c r="M3" i="7" s="1"/>
  <c r="G3" i="7"/>
  <c r="H4" i="2"/>
  <c r="J4" i="2" s="1"/>
  <c r="H5" i="2"/>
  <c r="J5" i="2" s="1"/>
  <c r="H6" i="2"/>
  <c r="H7" i="2"/>
  <c r="J7" i="2" s="1"/>
  <c r="H8" i="2"/>
  <c r="J8" i="2" s="1"/>
  <c r="H9" i="2"/>
  <c r="J9" i="2" s="1"/>
  <c r="H10" i="2"/>
  <c r="J10" i="2" s="1"/>
  <c r="H11" i="2"/>
  <c r="J11" i="2" s="1"/>
  <c r="H12" i="2"/>
  <c r="J12" i="2" s="1"/>
  <c r="H3" i="2"/>
  <c r="L6" i="3"/>
  <c r="G6" i="2"/>
  <c r="G4" i="2"/>
  <c r="G5" i="2"/>
  <c r="G7" i="2"/>
  <c r="G8" i="2"/>
  <c r="G9" i="2"/>
  <c r="G10" i="2"/>
  <c r="G11" i="2"/>
  <c r="G12" i="2"/>
  <c r="G3" i="2"/>
  <c r="E8" i="4"/>
  <c r="E4" i="4"/>
  <c r="E5" i="4"/>
  <c r="E6" i="4"/>
  <c r="E7" i="4"/>
  <c r="E9" i="4"/>
  <c r="E10" i="4"/>
  <c r="E11" i="4"/>
  <c r="E12" i="4"/>
  <c r="I30" i="1" s="1"/>
  <c r="E3" i="4"/>
  <c r="E13" i="4" s="1"/>
  <c r="B16" i="6"/>
  <c r="N12" i="6" s="1"/>
  <c r="C12" i="6"/>
  <c r="D12" i="6"/>
  <c r="E12" i="6"/>
  <c r="F12" i="6"/>
  <c r="G12" i="6"/>
  <c r="H12" i="6"/>
  <c r="I12" i="6"/>
  <c r="J12" i="6"/>
  <c r="K12" i="6"/>
  <c r="B12" i="6"/>
  <c r="L4" i="6"/>
  <c r="L5" i="6"/>
  <c r="L6" i="6"/>
  <c r="L7" i="6"/>
  <c r="L8" i="6"/>
  <c r="L9" i="6"/>
  <c r="L10" i="6"/>
  <c r="L11" i="6"/>
  <c r="L3" i="6"/>
  <c r="E31" i="4" l="1"/>
  <c r="B20" i="6"/>
  <c r="L43" i="6"/>
  <c r="L59" i="3"/>
  <c r="K20" i="2"/>
  <c r="M20" i="2"/>
  <c r="K21" i="8"/>
  <c r="J21" i="8"/>
  <c r="M21" i="8" s="1"/>
  <c r="K23" i="7"/>
  <c r="J23" i="7"/>
  <c r="M23" i="7" s="1"/>
  <c r="M11" i="6"/>
  <c r="N11" i="6" s="1"/>
  <c r="M7" i="6"/>
  <c r="N7" i="6" s="1"/>
  <c r="L12" i="6"/>
  <c r="K3" i="7"/>
  <c r="M3" i="2"/>
  <c r="K3" i="2"/>
  <c r="M3" i="8"/>
  <c r="K3" i="8"/>
  <c r="L4" i="3"/>
  <c r="L5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3" i="3"/>
  <c r="C21" i="3"/>
  <c r="D21" i="3"/>
  <c r="E21" i="3"/>
  <c r="F21" i="3"/>
  <c r="G21" i="3"/>
  <c r="H21" i="3"/>
  <c r="I21" i="3"/>
  <c r="J21" i="3"/>
  <c r="K21" i="3"/>
  <c r="B21" i="3"/>
  <c r="M8" i="6" l="1"/>
  <c r="N8" i="6" s="1"/>
  <c r="M4" i="6"/>
  <c r="N4" i="6" s="1"/>
  <c r="M6" i="6"/>
  <c r="N6" i="6" s="1"/>
  <c r="M10" i="6"/>
  <c r="N10" i="6" s="1"/>
  <c r="M5" i="6"/>
  <c r="N5" i="6" s="1"/>
  <c r="M3" i="6"/>
  <c r="N3" i="6" s="1"/>
  <c r="M9" i="6"/>
  <c r="N9" i="6" s="1"/>
  <c r="E25" i="3"/>
  <c r="B26" i="3" s="1"/>
  <c r="L21" i="3"/>
  <c r="M3" i="3" s="1"/>
  <c r="O3" i="6" l="1"/>
  <c r="P3" i="6" s="1"/>
  <c r="M6" i="3"/>
  <c r="N6" i="3" s="1"/>
  <c r="M5" i="3"/>
  <c r="N5" i="3" s="1"/>
  <c r="M17" i="3"/>
  <c r="N17" i="3" s="1"/>
  <c r="M10" i="3"/>
  <c r="N10" i="3" s="1"/>
  <c r="M14" i="3"/>
  <c r="N14" i="3" s="1"/>
  <c r="M4" i="3"/>
  <c r="N4" i="3" s="1"/>
  <c r="M7" i="3"/>
  <c r="N7" i="3" s="1"/>
  <c r="M16" i="3"/>
  <c r="N16" i="3" s="1"/>
  <c r="M13" i="3"/>
  <c r="N13" i="3" s="1"/>
  <c r="M20" i="3"/>
  <c r="N20" i="3" s="1"/>
  <c r="M18" i="3"/>
  <c r="N18" i="3" s="1"/>
  <c r="M8" i="3"/>
  <c r="N8" i="3" s="1"/>
  <c r="M15" i="3"/>
  <c r="N15" i="3" s="1"/>
  <c r="M11" i="3"/>
  <c r="N11" i="3" s="1"/>
  <c r="N3" i="3"/>
  <c r="M12" i="3"/>
  <c r="N12" i="3" s="1"/>
  <c r="M9" i="3"/>
  <c r="N9" i="3" s="1"/>
  <c r="M19" i="3"/>
  <c r="N19" i="3" s="1"/>
  <c r="O3" i="3" l="1"/>
  <c r="P3" i="3" s="1"/>
</calcChain>
</file>

<file path=xl/comments1.xml><?xml version="1.0" encoding="utf-8"?>
<comments xmlns="http://schemas.openxmlformats.org/spreadsheetml/2006/main">
  <authors>
    <author>Тарханов</author>
  </authors>
  <commentList>
    <comment ref="C2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Укажите вид спорта, которым занимаетесь (занимались)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Укажите вид спорта, которым занимаетесь (занимались)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Тарханов</author>
  </authors>
  <commentList>
    <comment ref="C2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Укажите вид спорта, которым занимаетесь (занимались)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Укажите вид спорта, которым занимаетесь (занимались)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Тарханов</author>
  </authors>
  <commentList>
    <comment ref="C2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Укажите вид спорта, которым занимаетесь (занимались)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20" authorId="0" shapeId="0">
      <text>
        <r>
          <rPr>
            <b/>
            <sz val="9"/>
            <color indexed="81"/>
            <rFont val="Tahoma"/>
            <family val="2"/>
            <charset val="204"/>
          </rPr>
          <t>Укажите вид спорта, которым занимаетесь (занимались)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<sst xmlns="http://schemas.openxmlformats.org/spreadsheetml/2006/main" count="497" uniqueCount="146">
  <si>
    <t>№</t>
  </si>
  <si>
    <t>ФИО</t>
  </si>
  <si>
    <t>Возраст</t>
  </si>
  <si>
    <t>Экономичность</t>
  </si>
  <si>
    <t>Вариативность</t>
  </si>
  <si>
    <t>Эффективность</t>
  </si>
  <si>
    <t>Стабильность</t>
  </si>
  <si>
    <t>Арутюнян Э.</t>
  </si>
  <si>
    <t>Корчагина А.</t>
  </si>
  <si>
    <t>Закоптелкова М.</t>
  </si>
  <si>
    <t>Голубинская А.</t>
  </si>
  <si>
    <t>Алиев А.</t>
  </si>
  <si>
    <t xml:space="preserve">Устинов </t>
  </si>
  <si>
    <t>Закоптелков С.</t>
  </si>
  <si>
    <t>Ефремов Е.</t>
  </si>
  <si>
    <t>Гейдарзаде У.</t>
  </si>
  <si>
    <t>Шубин И.</t>
  </si>
  <si>
    <t>№ задания</t>
  </si>
  <si>
    <t xml:space="preserve"> </t>
  </si>
  <si>
    <t>иппон-сейо-нагэ</t>
  </si>
  <si>
    <t>Названия приемов</t>
  </si>
  <si>
    <t>марате-сейо-нагэ</t>
  </si>
  <si>
    <t>о-госи</t>
  </si>
  <si>
    <t>тай-отоси</t>
  </si>
  <si>
    <t>учи-мата</t>
  </si>
  <si>
    <t>тсури-госи</t>
  </si>
  <si>
    <t>соде-тсурикоми-госи</t>
  </si>
  <si>
    <t>о-учи-гари</t>
  </si>
  <si>
    <t>ко-учи-гари</t>
  </si>
  <si>
    <t>хидза-гурума</t>
  </si>
  <si>
    <t>дэ-аси-харай (боковая подсечка)</t>
  </si>
  <si>
    <t>хараи-госи</t>
  </si>
  <si>
    <t>о-сото-отоси</t>
  </si>
  <si>
    <t>ко-сото-гакэ (зацеп снаружи)</t>
  </si>
  <si>
    <t>ко-сото-гари (подсечка под пятку снаружи)</t>
  </si>
  <si>
    <t>марате-сейо-нагэ с односторонним захватом</t>
  </si>
  <si>
    <t>ко-учи-гакэ (классический захват)</t>
  </si>
  <si>
    <t>ко-учи-макикоми (захват под плечо)</t>
  </si>
  <si>
    <t>Всего различных приемов у спортсмена:</t>
  </si>
  <si>
    <t>всего продемонстрировали отдельную технику:</t>
  </si>
  <si>
    <t>всего технических приемов в группе:</t>
  </si>
  <si>
    <t>№ п/п</t>
  </si>
  <si>
    <t>Специализация</t>
  </si>
  <si>
    <t>дзюдо</t>
  </si>
  <si>
    <t>Устинов Т.</t>
  </si>
  <si>
    <t>кеса-гатамэ</t>
  </si>
  <si>
    <t>ёко-сихо-гатамэ (захват с ногой и рукой)</t>
  </si>
  <si>
    <t>ёко-сихо-гатамэ (захват с рукой)</t>
  </si>
  <si>
    <t>татэ-сихо-гатамэ</t>
  </si>
  <si>
    <t>кузурэ-кеса-гатамэ</t>
  </si>
  <si>
    <t>ёко-сихо-гатамэ (захват с рукой и головой)</t>
  </si>
  <si>
    <t>ками-сихо-гатамэ</t>
  </si>
  <si>
    <t>ёко-сихо-гатамэ (захват с ногой и головой)</t>
  </si>
  <si>
    <t>кузурэ-ками-сихо-гатамэ</t>
  </si>
  <si>
    <t>S - кол-во успешных попыток</t>
  </si>
  <si>
    <t>N - кол-во всех попыток</t>
  </si>
  <si>
    <t>E(эффективность)=S/N</t>
  </si>
  <si>
    <t>средняя Е:</t>
  </si>
  <si>
    <t>количество бросков за вторые 30 с</t>
  </si>
  <si>
    <t>количество бросков за третьи 30 с</t>
  </si>
  <si>
    <t>Баллы (от 1 до 5)</t>
  </si>
  <si>
    <t>Результат 3 попытки</t>
  </si>
  <si>
    <t>экономичность = качество выполнения/ затраченное время</t>
  </si>
  <si>
    <t>Индекс вариативности на спортсмена</t>
  </si>
  <si>
    <t>Доля каждого приема Pi</t>
  </si>
  <si>
    <t>Pi*ln(Pi)</t>
  </si>
  <si>
    <t>где, S=18 (число видов приёмов),
pi​ — доля общего числа выполненных раз этого приёма от общего количества всех выполненных приёмов.</t>
  </si>
  <si>
    <t>H'max=</t>
  </si>
  <si>
    <r>
      <rPr>
        <b/>
        <sz val="18"/>
        <color theme="1"/>
        <rFont val="Calibri"/>
        <family val="2"/>
        <charset val="204"/>
        <scheme val="minor"/>
      </rPr>
      <t xml:space="preserve">J' </t>
    </r>
    <r>
      <rPr>
        <b/>
        <sz val="12"/>
        <color theme="1"/>
        <rFont val="Calibri"/>
        <family val="2"/>
        <charset val="204"/>
        <scheme val="minor"/>
      </rPr>
      <t>(равномерность)</t>
    </r>
  </si>
  <si>
    <r>
      <rPr>
        <b/>
        <sz val="20"/>
        <color theme="1"/>
        <rFont val="Calibri"/>
        <family val="2"/>
        <charset val="204"/>
        <scheme val="minor"/>
      </rPr>
      <t xml:space="preserve">H' </t>
    </r>
    <r>
      <rPr>
        <b/>
        <sz val="14"/>
        <color theme="1"/>
        <rFont val="Calibri"/>
        <family val="2"/>
        <charset val="204"/>
        <scheme val="minor"/>
      </rPr>
      <t>(Индекс Шеннона)</t>
    </r>
  </si>
  <si>
    <t>вариативность техники в тати-вадза в группе 1</t>
  </si>
  <si>
    <t>всего уникальных технических приемов в группе:</t>
  </si>
  <si>
    <t xml:space="preserve">Результат 2 попытки </t>
  </si>
  <si>
    <t xml:space="preserve">Результат 1 попытки </t>
  </si>
  <si>
    <t>средняя экономичность в группе</t>
  </si>
  <si>
    <t>средний балл за качество выполнения в группе</t>
  </si>
  <si>
    <t>Kст (коэф.стабильности) = N/n*100%</t>
  </si>
  <si>
    <t>количество бросков за последние 30 с (N)</t>
  </si>
  <si>
    <t>количество бросков за первые 30 с (n)</t>
  </si>
  <si>
    <t>Группа №1 (эксперимнентальная)</t>
  </si>
  <si>
    <t>Группа №2 (контрольная)</t>
  </si>
  <si>
    <t>Астапова К.</t>
  </si>
  <si>
    <t>Астапов М.</t>
  </si>
  <si>
    <t>Володин М.</t>
  </si>
  <si>
    <t>Гостев К.</t>
  </si>
  <si>
    <t>Кандеев А.</t>
  </si>
  <si>
    <t>Марушин Д.</t>
  </si>
  <si>
    <t>Марушин Т.</t>
  </si>
  <si>
    <t>Петиков В.</t>
  </si>
  <si>
    <t>Сафронов А.</t>
  </si>
  <si>
    <t>Янкин М.</t>
  </si>
  <si>
    <t>среднее время выполнения приема</t>
  </si>
  <si>
    <t>минимальное время выполнения приема (лучшая попытка)</t>
  </si>
  <si>
    <t>среднее минимальное время выполнения приема в группе</t>
  </si>
  <si>
    <t>коси-гурума</t>
  </si>
  <si>
    <t>о-сото-гари</t>
  </si>
  <si>
    <t>Этот индекс нужен????</t>
  </si>
  <si>
    <t>уширо-кеса-гатамэ</t>
  </si>
  <si>
    <t>ката-гатамэ</t>
  </si>
  <si>
    <t>вариативность техники в тати-вадза в группе 2</t>
  </si>
  <si>
    <t>Группа №2(контрольная)</t>
  </si>
  <si>
    <t>Кст (среднее)=</t>
  </si>
  <si>
    <t xml:space="preserve">   Группа №1 (эксперимнентальная)</t>
  </si>
  <si>
    <t>Арутюнян</t>
  </si>
  <si>
    <t>Корчагина</t>
  </si>
  <si>
    <t>Голубинская</t>
  </si>
  <si>
    <t>Закоптелков</t>
  </si>
  <si>
    <t>Ефремов</t>
  </si>
  <si>
    <t>Гейдарзаде</t>
  </si>
  <si>
    <t>Шубин</t>
  </si>
  <si>
    <t>name</t>
  </si>
  <si>
    <t>Закоптелкова</t>
  </si>
  <si>
    <t>Алиев</t>
  </si>
  <si>
    <t>Астапова</t>
  </si>
  <si>
    <t>Астапов</t>
  </si>
  <si>
    <t>Володин</t>
  </si>
  <si>
    <t xml:space="preserve">Гостев </t>
  </si>
  <si>
    <t>Кандеев</t>
  </si>
  <si>
    <t>Марушин</t>
  </si>
  <si>
    <t>Петиков</t>
  </si>
  <si>
    <t>Сафронов</t>
  </si>
  <si>
    <t>Янкин</t>
  </si>
  <si>
    <t>exp_group</t>
  </si>
  <si>
    <t>s_30</t>
  </si>
  <si>
    <t>s_60</t>
  </si>
  <si>
    <t>s_90</t>
  </si>
  <si>
    <t>s_120</t>
  </si>
  <si>
    <t>success_30</t>
  </si>
  <si>
    <t>number_30</t>
  </si>
  <si>
    <t>var_hold</t>
  </si>
  <si>
    <t>var_throw</t>
  </si>
  <si>
    <t>res_1_ces</t>
  </si>
  <si>
    <t>res_2_ces</t>
  </si>
  <si>
    <t>res_3_ces</t>
  </si>
  <si>
    <t>note_ces</t>
  </si>
  <si>
    <t>effic_ces</t>
  </si>
  <si>
    <t>res_1_sum</t>
  </si>
  <si>
    <t>res_2_sum</t>
  </si>
  <si>
    <t>res_3_sum</t>
  </si>
  <si>
    <t>note_sum</t>
  </si>
  <si>
    <t>effic_sum</t>
  </si>
  <si>
    <t>res_1_ipp</t>
  </si>
  <si>
    <t>res_2_ipp</t>
  </si>
  <si>
    <t>res_3_ipp</t>
  </si>
  <si>
    <t>note_ipp</t>
  </si>
  <si>
    <t>effic_ipp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</si>
</sst>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0"/>
    <numFmt numFmtId="166" formatCode="0.000"/>
    <numFmt numFmtId="167" formatCode="0.0000"/>
  </numFmts>
  <fonts count="1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sz val="12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Roboto"/>
    </font>
    <font>
      <b/>
      <sz val="12"/>
      <color rgb="FF0F1115"/>
      <name val="Segoe UI"/>
      <family val="2"/>
      <charset val="204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0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24"/>
      <color rgb="FF9C0006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</cellStyleXfs>
  <cellXfs count="18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0" fillId="3" borderId="0" xfId="0" applyNumberFormat="1" applyFill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0" fontId="12" fillId="0" borderId="0" xfId="0" applyFont="1" applyBorder="1" applyAlignment="1">
      <alignment horizontal="left" vertical="center" wrapText="1"/>
    </xf>
    <xf numFmtId="2" fontId="15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2" fontId="0" fillId="0" borderId="9" xfId="0" applyNumberForma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6" fillId="4" borderId="0" xfId="1" applyAlignment="1">
      <alignment vertical="center"/>
    </xf>
    <xf numFmtId="0" fontId="12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0" fontId="0" fillId="6" borderId="1" xfId="0" applyNumberForma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166" fontId="0" fillId="6" borderId="9" xfId="0" applyNumberForma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7" fontId="8" fillId="6" borderId="1" xfId="0" applyNumberFormat="1" applyFont="1" applyFill="1" applyBorder="1" applyAlignment="1">
      <alignment horizontal="center" vertical="center" wrapText="1"/>
    </xf>
    <xf numFmtId="167" fontId="8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9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9" fontId="0" fillId="0" borderId="45" xfId="0" applyNumberFormat="1" applyBorder="1" applyAlignment="1">
      <alignment horizontal="center" vertical="center"/>
    </xf>
    <xf numFmtId="9" fontId="0" fillId="0" borderId="46" xfId="0" applyNumberFormat="1" applyBorder="1" applyAlignment="1">
      <alignment horizontal="center" vertical="center"/>
    </xf>
    <xf numFmtId="9" fontId="0" fillId="0" borderId="47" xfId="0" applyNumberForma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9" fontId="2" fillId="0" borderId="45" xfId="0" applyNumberFormat="1" applyFont="1" applyBorder="1" applyAlignment="1">
      <alignment horizontal="center" vertical="center" wrapText="1"/>
    </xf>
    <xf numFmtId="9" fontId="2" fillId="0" borderId="46" xfId="0" applyNumberFormat="1" applyFont="1" applyBorder="1" applyAlignment="1">
      <alignment horizontal="center" vertical="center" wrapText="1"/>
    </xf>
    <xf numFmtId="9" fontId="2" fillId="0" borderId="47" xfId="0" applyNumberFormat="1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16" fillId="4" borderId="0" xfId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9" fontId="2" fillId="0" borderId="45" xfId="0" applyNumberFormat="1" applyFont="1" applyFill="1" applyBorder="1" applyAlignment="1">
      <alignment horizontal="center" vertical="center" wrapText="1"/>
    </xf>
    <xf numFmtId="9" fontId="2" fillId="0" borderId="46" xfId="0" applyNumberFormat="1" applyFont="1" applyFill="1" applyBorder="1" applyAlignment="1">
      <alignment horizontal="center" vertical="center" wrapText="1"/>
    </xf>
    <xf numFmtId="9" fontId="2" fillId="0" borderId="47" xfId="0" applyNumberFormat="1" applyFont="1" applyFill="1" applyBorder="1" applyAlignment="1">
      <alignment horizontal="center" vertical="center" wrapText="1"/>
    </xf>
    <xf numFmtId="0" fontId="16" fillId="4" borderId="0" xfId="1" applyBorder="1" applyAlignment="1">
      <alignment horizontal="center" vertical="center" wrapText="1"/>
    </xf>
    <xf numFmtId="9" fontId="0" fillId="0" borderId="36" xfId="0" applyNumberFormat="1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9" fontId="0" fillId="0" borderId="38" xfId="0" applyNumberFormat="1" applyBorder="1" applyAlignment="1">
      <alignment horizontal="center" vertical="center"/>
    </xf>
    <xf numFmtId="0" fontId="16" fillId="4" borderId="0" xfId="1" applyAlignment="1">
      <alignment horizontal="center" vertical="center"/>
    </xf>
    <xf numFmtId="164" fontId="18" fillId="5" borderId="15" xfId="2" applyNumberFormat="1" applyFont="1" applyBorder="1" applyAlignment="1">
      <alignment horizontal="center" vertical="center"/>
    </xf>
    <xf numFmtId="164" fontId="18" fillId="5" borderId="51" xfId="2" applyNumberFormat="1" applyFont="1" applyBorder="1" applyAlignment="1">
      <alignment horizontal="center" vertical="center"/>
    </xf>
    <xf numFmtId="164" fontId="18" fillId="5" borderId="60" xfId="2" applyNumberFormat="1" applyFont="1" applyBorder="1" applyAlignment="1">
      <alignment horizontal="center" vertical="center"/>
    </xf>
    <xf numFmtId="164" fontId="18" fillId="5" borderId="0" xfId="2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6" fillId="4" borderId="4" xfId="1" applyBorder="1" applyAlignment="1">
      <alignment horizontal="center" vertical="center"/>
    </xf>
    <xf numFmtId="0" fontId="0" fillId="0" borderId="1" xfId="0" applyBorder="1"/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ru-RU" sz="1800"/>
              <a:t>Набрасывания броска через бедро в течение 2 мин (группа 1)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стабильность!$C$2</c:f>
              <c:strCache>
                <c:ptCount val="1"/>
                <c:pt idx="0">
                  <c:v>количество бросков за первые 30 с (n)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стабильность!$B$3:$B$12</c:f>
              <c:strCache>
                <c:ptCount val="10"/>
                <c:pt idx="0">
                  <c:v>Арутюнян Э.</c:v>
                </c:pt>
                <c:pt idx="1">
                  <c:v>Корчагина А.</c:v>
                </c:pt>
                <c:pt idx="2">
                  <c:v>Закоптелкова М.</c:v>
                </c:pt>
                <c:pt idx="3">
                  <c:v>Голубинская А.</c:v>
                </c:pt>
                <c:pt idx="4">
                  <c:v>Алиев А.</c:v>
                </c:pt>
                <c:pt idx="5">
                  <c:v>Устинов </c:v>
                </c:pt>
                <c:pt idx="6">
                  <c:v>Закоптелков С.</c:v>
                </c:pt>
                <c:pt idx="7">
                  <c:v>Ефремов Е.</c:v>
                </c:pt>
                <c:pt idx="8">
                  <c:v>Гейдарзаде У.</c:v>
                </c:pt>
                <c:pt idx="9">
                  <c:v>Шубин И.</c:v>
                </c:pt>
              </c:strCache>
            </c:strRef>
          </c:cat>
          <c:val>
            <c:numRef>
              <c:f>стабильность!$C$3:$C$12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4</c:v>
                </c:pt>
                <c:pt idx="4">
                  <c:v>9</c:v>
                </c:pt>
                <c:pt idx="5">
                  <c:v>6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B-416B-841A-23C243232E11}"/>
            </c:ext>
          </c:extLst>
        </c:ser>
        <c:ser>
          <c:idx val="1"/>
          <c:order val="1"/>
          <c:tx>
            <c:strRef>
              <c:f>стабильность!$D$2</c:f>
              <c:strCache>
                <c:ptCount val="1"/>
                <c:pt idx="0">
                  <c:v>количество бросков за вторые 30 с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стабильность!$B$3:$B$12</c:f>
              <c:strCache>
                <c:ptCount val="10"/>
                <c:pt idx="0">
                  <c:v>Арутюнян Э.</c:v>
                </c:pt>
                <c:pt idx="1">
                  <c:v>Корчагина А.</c:v>
                </c:pt>
                <c:pt idx="2">
                  <c:v>Закоптелкова М.</c:v>
                </c:pt>
                <c:pt idx="3">
                  <c:v>Голубинская А.</c:v>
                </c:pt>
                <c:pt idx="4">
                  <c:v>Алиев А.</c:v>
                </c:pt>
                <c:pt idx="5">
                  <c:v>Устинов </c:v>
                </c:pt>
                <c:pt idx="6">
                  <c:v>Закоптелков С.</c:v>
                </c:pt>
                <c:pt idx="7">
                  <c:v>Ефремов Е.</c:v>
                </c:pt>
                <c:pt idx="8">
                  <c:v>Гейдарзаде У.</c:v>
                </c:pt>
                <c:pt idx="9">
                  <c:v>Шубин И.</c:v>
                </c:pt>
              </c:strCache>
            </c:strRef>
          </c:cat>
          <c:val>
            <c:numRef>
              <c:f>стабильность!$D$3:$D$12</c:f>
              <c:numCache>
                <c:formatCode>General</c:formatCode>
                <c:ptCount val="10"/>
                <c:pt idx="0">
                  <c:v>10</c:v>
                </c:pt>
                <c:pt idx="1">
                  <c:v>8</c:v>
                </c:pt>
                <c:pt idx="2">
                  <c:v>5</c:v>
                </c:pt>
                <c:pt idx="3">
                  <c:v>2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9B-416B-841A-23C243232E11}"/>
            </c:ext>
          </c:extLst>
        </c:ser>
        <c:ser>
          <c:idx val="2"/>
          <c:order val="2"/>
          <c:tx>
            <c:strRef>
              <c:f>стабильность!$E$2</c:f>
              <c:strCache>
                <c:ptCount val="1"/>
                <c:pt idx="0">
                  <c:v>количество бросков за третьи 30 с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стабильность!$B$3:$B$12</c:f>
              <c:strCache>
                <c:ptCount val="10"/>
                <c:pt idx="0">
                  <c:v>Арутюнян Э.</c:v>
                </c:pt>
                <c:pt idx="1">
                  <c:v>Корчагина А.</c:v>
                </c:pt>
                <c:pt idx="2">
                  <c:v>Закоптелкова М.</c:v>
                </c:pt>
                <c:pt idx="3">
                  <c:v>Голубинская А.</c:v>
                </c:pt>
                <c:pt idx="4">
                  <c:v>Алиев А.</c:v>
                </c:pt>
                <c:pt idx="5">
                  <c:v>Устинов </c:v>
                </c:pt>
                <c:pt idx="6">
                  <c:v>Закоптелков С.</c:v>
                </c:pt>
                <c:pt idx="7">
                  <c:v>Ефремов Е.</c:v>
                </c:pt>
                <c:pt idx="8">
                  <c:v>Гейдарзаде У.</c:v>
                </c:pt>
                <c:pt idx="9">
                  <c:v>Шубин И.</c:v>
                </c:pt>
              </c:strCache>
            </c:strRef>
          </c:cat>
          <c:val>
            <c:numRef>
              <c:f>стабильность!$E$3:$E$12</c:f>
              <c:numCache>
                <c:formatCode>General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9B-416B-841A-23C243232E11}"/>
            </c:ext>
          </c:extLst>
        </c:ser>
        <c:ser>
          <c:idx val="3"/>
          <c:order val="3"/>
          <c:tx>
            <c:strRef>
              <c:f>стабильность!$F$2</c:f>
              <c:strCache>
                <c:ptCount val="1"/>
                <c:pt idx="0">
                  <c:v>количество бросков за последние 30 с (N)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стабильность!$B$3:$B$12</c:f>
              <c:strCache>
                <c:ptCount val="10"/>
                <c:pt idx="0">
                  <c:v>Арутюнян Э.</c:v>
                </c:pt>
                <c:pt idx="1">
                  <c:v>Корчагина А.</c:v>
                </c:pt>
                <c:pt idx="2">
                  <c:v>Закоптелкова М.</c:v>
                </c:pt>
                <c:pt idx="3">
                  <c:v>Голубинская А.</c:v>
                </c:pt>
                <c:pt idx="4">
                  <c:v>Алиев А.</c:v>
                </c:pt>
                <c:pt idx="5">
                  <c:v>Устинов </c:v>
                </c:pt>
                <c:pt idx="6">
                  <c:v>Закоптелков С.</c:v>
                </c:pt>
                <c:pt idx="7">
                  <c:v>Ефремов Е.</c:v>
                </c:pt>
                <c:pt idx="8">
                  <c:v>Гейдарзаде У.</c:v>
                </c:pt>
                <c:pt idx="9">
                  <c:v>Шубин И.</c:v>
                </c:pt>
              </c:strCache>
            </c:strRef>
          </c:cat>
          <c:val>
            <c:numRef>
              <c:f>стабильность!$F$3:$F$12</c:f>
              <c:numCache>
                <c:formatCode>General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9B-416B-841A-23C243232E1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75060239"/>
        <c:axId val="375059407"/>
      </c:barChart>
      <c:catAx>
        <c:axId val="37506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375059407"/>
        <c:crosses val="autoZero"/>
        <c:auto val="1"/>
        <c:lblAlgn val="ctr"/>
        <c:lblOffset val="100"/>
        <c:noMultiLvlLbl val="0"/>
      </c:catAx>
      <c:valAx>
        <c:axId val="37505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375060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ru-RU" sz="1800"/>
              <a:t>Набрасывания броска через бедро в течение 2 мин (группа 2)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стабильность!$C$25</c:f>
              <c:strCache>
                <c:ptCount val="1"/>
                <c:pt idx="0">
                  <c:v>количество бросков за первые 30 с (n)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стабильность!$B$26:$B$35</c:f>
              <c:strCache>
                <c:ptCount val="10"/>
                <c:pt idx="0">
                  <c:v>Астапова К.</c:v>
                </c:pt>
                <c:pt idx="1">
                  <c:v>Астапов М.</c:v>
                </c:pt>
                <c:pt idx="2">
                  <c:v>Володин М.</c:v>
                </c:pt>
                <c:pt idx="3">
                  <c:v>Гостев К.</c:v>
                </c:pt>
                <c:pt idx="4">
                  <c:v>Кандеев А.</c:v>
                </c:pt>
                <c:pt idx="5">
                  <c:v>Марушин Д.</c:v>
                </c:pt>
                <c:pt idx="6">
                  <c:v>Марушин Т.</c:v>
                </c:pt>
                <c:pt idx="7">
                  <c:v>Петиков В.</c:v>
                </c:pt>
                <c:pt idx="8">
                  <c:v>Сафронов А.</c:v>
                </c:pt>
                <c:pt idx="9">
                  <c:v>Янкин М.</c:v>
                </c:pt>
              </c:strCache>
            </c:strRef>
          </c:cat>
          <c:val>
            <c:numRef>
              <c:f>стабильность!$C$26:$C$35</c:f>
              <c:numCache>
                <c:formatCode>General</c:formatCode>
                <c:ptCount val="10"/>
                <c:pt idx="0">
                  <c:v>7</c:v>
                </c:pt>
                <c:pt idx="1">
                  <c:v>4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  <c:pt idx="5">
                  <c:v>6</c:v>
                </c:pt>
                <c:pt idx="6">
                  <c:v>8</c:v>
                </c:pt>
                <c:pt idx="7">
                  <c:v>7</c:v>
                </c:pt>
                <c:pt idx="8">
                  <c:v>10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5-4B4C-AD40-B835D2D6CAE2}"/>
            </c:ext>
          </c:extLst>
        </c:ser>
        <c:ser>
          <c:idx val="1"/>
          <c:order val="1"/>
          <c:tx>
            <c:strRef>
              <c:f>стабильность!$D$25</c:f>
              <c:strCache>
                <c:ptCount val="1"/>
                <c:pt idx="0">
                  <c:v>количество бросков за вторые 30 с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стабильность!$B$26:$B$35</c:f>
              <c:strCache>
                <c:ptCount val="10"/>
                <c:pt idx="0">
                  <c:v>Астапова К.</c:v>
                </c:pt>
                <c:pt idx="1">
                  <c:v>Астапов М.</c:v>
                </c:pt>
                <c:pt idx="2">
                  <c:v>Володин М.</c:v>
                </c:pt>
                <c:pt idx="3">
                  <c:v>Гостев К.</c:v>
                </c:pt>
                <c:pt idx="4">
                  <c:v>Кандеев А.</c:v>
                </c:pt>
                <c:pt idx="5">
                  <c:v>Марушин Д.</c:v>
                </c:pt>
                <c:pt idx="6">
                  <c:v>Марушин Т.</c:v>
                </c:pt>
                <c:pt idx="7">
                  <c:v>Петиков В.</c:v>
                </c:pt>
                <c:pt idx="8">
                  <c:v>Сафронов А.</c:v>
                </c:pt>
                <c:pt idx="9">
                  <c:v>Янкин М.</c:v>
                </c:pt>
              </c:strCache>
            </c:strRef>
          </c:cat>
          <c:val>
            <c:numRef>
              <c:f>стабильность!$D$26:$D$35</c:f>
              <c:numCache>
                <c:formatCode>General</c:formatCode>
                <c:ptCount val="10"/>
                <c:pt idx="0">
                  <c:v>7</c:v>
                </c:pt>
                <c:pt idx="1">
                  <c:v>4</c:v>
                </c:pt>
                <c:pt idx="2">
                  <c:v>9</c:v>
                </c:pt>
                <c:pt idx="3">
                  <c:v>4</c:v>
                </c:pt>
                <c:pt idx="4">
                  <c:v>10</c:v>
                </c:pt>
                <c:pt idx="5">
                  <c:v>6</c:v>
                </c:pt>
                <c:pt idx="6">
                  <c:v>9</c:v>
                </c:pt>
                <c:pt idx="7">
                  <c:v>6</c:v>
                </c:pt>
                <c:pt idx="8">
                  <c:v>9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95-4B4C-AD40-B835D2D6CAE2}"/>
            </c:ext>
          </c:extLst>
        </c:ser>
        <c:ser>
          <c:idx val="2"/>
          <c:order val="2"/>
          <c:tx>
            <c:strRef>
              <c:f>стабильность!$E$25</c:f>
              <c:strCache>
                <c:ptCount val="1"/>
                <c:pt idx="0">
                  <c:v>количество бросков за третьи 30 с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стабильность!$B$26:$B$35</c:f>
              <c:strCache>
                <c:ptCount val="10"/>
                <c:pt idx="0">
                  <c:v>Астапова К.</c:v>
                </c:pt>
                <c:pt idx="1">
                  <c:v>Астапов М.</c:v>
                </c:pt>
                <c:pt idx="2">
                  <c:v>Володин М.</c:v>
                </c:pt>
                <c:pt idx="3">
                  <c:v>Гостев К.</c:v>
                </c:pt>
                <c:pt idx="4">
                  <c:v>Кандеев А.</c:v>
                </c:pt>
                <c:pt idx="5">
                  <c:v>Марушин Д.</c:v>
                </c:pt>
                <c:pt idx="6">
                  <c:v>Марушин Т.</c:v>
                </c:pt>
                <c:pt idx="7">
                  <c:v>Петиков В.</c:v>
                </c:pt>
                <c:pt idx="8">
                  <c:v>Сафронов А.</c:v>
                </c:pt>
                <c:pt idx="9">
                  <c:v>Янкин М.</c:v>
                </c:pt>
              </c:strCache>
            </c:strRef>
          </c:cat>
          <c:val>
            <c:numRef>
              <c:f>стабильность!$E$26:$E$35</c:f>
              <c:numCache>
                <c:formatCode>General</c:formatCode>
                <c:ptCount val="10"/>
                <c:pt idx="0">
                  <c:v>6</c:v>
                </c:pt>
                <c:pt idx="1">
                  <c:v>3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95-4B4C-AD40-B835D2D6CAE2}"/>
            </c:ext>
          </c:extLst>
        </c:ser>
        <c:ser>
          <c:idx val="3"/>
          <c:order val="3"/>
          <c:tx>
            <c:strRef>
              <c:f>стабильность!$F$25</c:f>
              <c:strCache>
                <c:ptCount val="1"/>
                <c:pt idx="0">
                  <c:v>количество бросков за последние 30 с (N)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стабильность!$B$26:$B$35</c:f>
              <c:strCache>
                <c:ptCount val="10"/>
                <c:pt idx="0">
                  <c:v>Астапова К.</c:v>
                </c:pt>
                <c:pt idx="1">
                  <c:v>Астапов М.</c:v>
                </c:pt>
                <c:pt idx="2">
                  <c:v>Володин М.</c:v>
                </c:pt>
                <c:pt idx="3">
                  <c:v>Гостев К.</c:v>
                </c:pt>
                <c:pt idx="4">
                  <c:v>Кандеев А.</c:v>
                </c:pt>
                <c:pt idx="5">
                  <c:v>Марушин Д.</c:v>
                </c:pt>
                <c:pt idx="6">
                  <c:v>Марушин Т.</c:v>
                </c:pt>
                <c:pt idx="7">
                  <c:v>Петиков В.</c:v>
                </c:pt>
                <c:pt idx="8">
                  <c:v>Сафронов А.</c:v>
                </c:pt>
                <c:pt idx="9">
                  <c:v>Янкин М.</c:v>
                </c:pt>
              </c:strCache>
            </c:strRef>
          </c:cat>
          <c:val>
            <c:numRef>
              <c:f>стабильность!$F$26:$F$35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7</c:v>
                </c:pt>
                <c:pt idx="7">
                  <c:v>4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95-4B4C-AD40-B835D2D6CA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75060239"/>
        <c:axId val="375059407"/>
      </c:barChart>
      <c:catAx>
        <c:axId val="37506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375059407"/>
        <c:crosses val="autoZero"/>
        <c:auto val="1"/>
        <c:lblAlgn val="ctr"/>
        <c:lblOffset val="100"/>
        <c:noMultiLvlLbl val="0"/>
      </c:catAx>
      <c:valAx>
        <c:axId val="37505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375060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1" i="0" u="none" strike="noStrike" kern="1200" baseline="0">
                <a:solidFill>
                  <a:schemeClr val="tx2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49482</xdr:colOff>
      <xdr:row>24</xdr:row>
      <xdr:rowOff>49481</xdr:rowOff>
    </xdr:from>
    <xdr:to>
      <xdr:col>3</xdr:col>
      <xdr:colOff>1100942</xdr:colOff>
      <xdr:row>24</xdr:row>
      <xdr:rowOff>650416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2C59CECD-8D7D-40D0-A7BF-B741D5FC4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346" y="8127176"/>
          <a:ext cx="2820388" cy="6009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61849</xdr:rowOff>
    </xdr:from>
    <xdr:to>
      <xdr:col>7</xdr:col>
      <xdr:colOff>44373</xdr:colOff>
      <xdr:row>33</xdr:row>
      <xdr:rowOff>123700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DFF9F23-B957-40D7-976C-937069B4C9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49345"/>
        <a:stretch/>
      </xdr:blipFill>
      <xdr:spPr>
        <a:xfrm>
          <a:off x="0" y="10056914"/>
          <a:ext cx="7219048" cy="1447305"/>
        </a:xfrm>
        <a:prstGeom prst="rect">
          <a:avLst/>
        </a:prstGeom>
      </xdr:spPr>
    </xdr:pic>
    <xdr:clientData/>
  </xdr:twoCellAnchor>
  <xdr:twoCellAnchor editAs="oneCell">
    <xdr:from>
      <xdr:col>16</xdr:col>
      <xdr:colOff>24739</xdr:colOff>
      <xdr:row>2</xdr:row>
      <xdr:rowOff>37112</xdr:rowOff>
    </xdr:from>
    <xdr:to>
      <xdr:col>19</xdr:col>
      <xdr:colOff>213884</xdr:colOff>
      <xdr:row>4</xdr:row>
      <xdr:rowOff>431744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A7B36475-E738-4DC3-9044-83E5ED554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13181" y="717469"/>
          <a:ext cx="1933333" cy="790476"/>
        </a:xfrm>
        <a:prstGeom prst="rect">
          <a:avLst/>
        </a:prstGeom>
      </xdr:spPr>
    </xdr:pic>
    <xdr:clientData/>
  </xdr:twoCellAnchor>
  <xdr:twoCellAnchor editAs="oneCell">
    <xdr:from>
      <xdr:col>16</xdr:col>
      <xdr:colOff>24738</xdr:colOff>
      <xdr:row>8</xdr:row>
      <xdr:rowOff>148442</xdr:rowOff>
    </xdr:from>
    <xdr:to>
      <xdr:col>24</xdr:col>
      <xdr:colOff>256861</xdr:colOff>
      <xdr:row>13</xdr:row>
      <xdr:rowOff>370519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560F50E5-AFCA-4AA5-95E6-3B9E61B9D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324608" y="2424546"/>
          <a:ext cx="4883291" cy="1409610"/>
        </a:xfrm>
        <a:prstGeom prst="rect">
          <a:avLst/>
        </a:prstGeom>
      </xdr:spPr>
    </xdr:pic>
    <xdr:clientData/>
  </xdr:twoCellAnchor>
  <xdr:oneCellAnchor>
    <xdr:from>
      <xdr:col>1</xdr:col>
      <xdr:colOff>49482</xdr:colOff>
      <xdr:row>66</xdr:row>
      <xdr:rowOff>49481</xdr:rowOff>
    </xdr:from>
    <xdr:ext cx="2820388" cy="600935"/>
    <xdr:pic>
      <xdr:nvPicPr>
        <xdr:cNvPr id="6" name="Рисунок 5">
          <a:extLst>
            <a:ext uri="{FF2B5EF4-FFF2-40B4-BE49-F238E27FC236}">
              <a16:creationId xmlns:a16="http://schemas.microsoft.com/office/drawing/2014/main" id="{6E6D2400-864E-4E5F-8AA9-FF3FEDF63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4937" y="8671462"/>
          <a:ext cx="2820388" cy="60093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123566</xdr:colOff>
      <xdr:row>18</xdr:row>
      <xdr:rowOff>60067</xdr:rowOff>
    </xdr:from>
    <xdr:to>
      <xdr:col>3</xdr:col>
      <xdr:colOff>899584</xdr:colOff>
      <xdr:row>19</xdr:row>
      <xdr:rowOff>5293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31F01D9-70ED-476E-9E40-F793A8548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8983" y="8071650"/>
          <a:ext cx="2681018" cy="744268"/>
        </a:xfrm>
        <a:prstGeom prst="rect">
          <a:avLst/>
        </a:prstGeom>
      </xdr:spPr>
    </xdr:pic>
    <xdr:clientData/>
  </xdr:twoCellAnchor>
  <xdr:oneCellAnchor>
    <xdr:from>
      <xdr:col>1</xdr:col>
      <xdr:colOff>123566</xdr:colOff>
      <xdr:row>49</xdr:row>
      <xdr:rowOff>60067</xdr:rowOff>
    </xdr:from>
    <xdr:ext cx="2681018" cy="601393"/>
    <xdr:pic>
      <xdr:nvPicPr>
        <xdr:cNvPr id="3" name="Рисунок 2">
          <a:extLst>
            <a:ext uri="{FF2B5EF4-FFF2-40B4-BE49-F238E27FC236}">
              <a16:creationId xmlns:a16="http://schemas.microsoft.com/office/drawing/2014/main" id="{476B2A97-4C74-4083-A11D-B23F8AAF2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1733" y="6283067"/>
          <a:ext cx="2681018" cy="60139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0</xdr:row>
      <xdr:rowOff>9525</xdr:rowOff>
    </xdr:from>
    <xdr:to>
      <xdr:col>25</xdr:col>
      <xdr:colOff>57150</xdr:colOff>
      <xdr:row>23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DA3CCDD-8148-4D7F-B018-3F72F82BF2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323850</xdr:colOff>
      <xdr:row>23</xdr:row>
      <xdr:rowOff>161925</xdr:rowOff>
    </xdr:from>
    <xdr:to>
      <xdr:col>25</xdr:col>
      <xdr:colOff>19050</xdr:colOff>
      <xdr:row>47</xdr:row>
      <xdr:rowOff>133350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A995FD9-DD2E-4293-89A4-F673A1060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workbookViewId="0">
      <selection sqref="A1:Y1"/>
    </sheetView>
  </sheetViews>
  <sheetFormatPr defaultRowHeight="15"/>
  <cols>
    <col min="1" max="1" width="13.7109375" style="187" bestFit="1" customWidth="1"/>
    <col min="2" max="2" width="10.42578125" style="187" bestFit="1" customWidth="1"/>
    <col min="3" max="5" width="4.85546875" style="187" bestFit="1" customWidth="1"/>
    <col min="6" max="6" width="5.85546875" style="187" bestFit="1" customWidth="1"/>
    <col min="7" max="7" width="10.5703125" style="187" bestFit="1" customWidth="1"/>
    <col min="8" max="8" width="11" style="187" bestFit="1" customWidth="1"/>
    <col min="9" max="10" width="11" style="187" customWidth="1"/>
    <col min="11" max="16384" width="9.140625" style="187"/>
  </cols>
  <sheetData>
    <row r="1" spans="1:25">
      <c r="A1" s="187" t="s">
        <v>110</v>
      </c>
      <c r="B1" s="187" t="s">
        <v>122</v>
      </c>
      <c r="C1" s="187" t="s">
        <v>123</v>
      </c>
      <c r="D1" s="187" t="s">
        <v>124</v>
      </c>
      <c r="E1" s="187" t="s">
        <v>125</v>
      </c>
      <c r="F1" s="187" t="s">
        <v>126</v>
      </c>
      <c r="G1" s="187" t="s">
        <v>127</v>
      </c>
      <c r="H1" s="187" t="s">
        <v>128</v>
      </c>
      <c r="I1" s="187" t="s">
        <v>130</v>
      </c>
      <c r="J1" s="187" t="s">
        <v>129</v>
      </c>
      <c r="K1" s="187" t="s">
        <v>131</v>
      </c>
      <c r="L1" s="187" t="s">
        <v>132</v>
      </c>
      <c r="M1" s="187" t="s">
        <v>133</v>
      </c>
      <c r="N1" s="187" t="s">
        <v>134</v>
      </c>
      <c r="O1" s="187" t="s">
        <v>135</v>
      </c>
      <c r="P1" s="187" t="s">
        <v>136</v>
      </c>
      <c r="Q1" s="187" t="s">
        <v>137</v>
      </c>
      <c r="R1" s="187" t="s">
        <v>138</v>
      </c>
      <c r="S1" s="187" t="s">
        <v>139</v>
      </c>
      <c r="T1" s="187" t="s">
        <v>140</v>
      </c>
      <c r="U1" s="187" t="s">
        <v>141</v>
      </c>
      <c r="V1" s="187" t="s">
        <v>142</v>
      </c>
      <c r="W1" s="187" t="s">
        <v>143</v>
      </c>
      <c r="X1" s="187" t="s">
        <v>144</v>
      </c>
      <c r="Y1" s="187" t="s">
        <v>145</v>
      </c>
    </row>
    <row r="2" spans="1:25">
      <c r="A2" s="17" t="s">
        <v>103</v>
      </c>
      <c r="B2" s="17">
        <v>1</v>
      </c>
      <c r="C2" s="17">
        <v>10</v>
      </c>
      <c r="D2" s="17">
        <v>10</v>
      </c>
      <c r="E2" s="17">
        <v>9</v>
      </c>
      <c r="F2" s="17">
        <v>9</v>
      </c>
      <c r="G2" s="187">
        <v>4</v>
      </c>
      <c r="H2" s="187">
        <v>5</v>
      </c>
      <c r="I2" s="187">
        <v>8</v>
      </c>
      <c r="J2" s="187">
        <v>7</v>
      </c>
      <c r="K2" s="187">
        <v>4</v>
      </c>
      <c r="L2" s="187">
        <v>1.9</v>
      </c>
      <c r="M2" s="187">
        <v>2.2999999999999998</v>
      </c>
      <c r="N2" s="187">
        <v>5</v>
      </c>
      <c r="O2" s="187">
        <v>2.6315789473684212</v>
      </c>
      <c r="P2" s="187">
        <v>2.1</v>
      </c>
      <c r="Q2" s="187">
        <v>2.2000000000000002</v>
      </c>
      <c r="R2" s="187">
        <v>2.2999999999999998</v>
      </c>
      <c r="S2" s="187">
        <v>5</v>
      </c>
      <c r="T2" s="187">
        <v>2.3809523809523809</v>
      </c>
      <c r="U2" s="187">
        <v>1.25</v>
      </c>
      <c r="V2" s="187">
        <v>1.45</v>
      </c>
      <c r="W2" s="187">
        <v>2.5</v>
      </c>
      <c r="X2" s="187">
        <v>5</v>
      </c>
      <c r="Y2" s="187">
        <v>4</v>
      </c>
    </row>
    <row r="3" spans="1:25">
      <c r="A3" s="17" t="s">
        <v>104</v>
      </c>
      <c r="B3" s="17">
        <v>1</v>
      </c>
      <c r="C3" s="17">
        <v>9</v>
      </c>
      <c r="D3" s="17">
        <v>8</v>
      </c>
      <c r="E3" s="17">
        <v>9</v>
      </c>
      <c r="F3" s="17">
        <v>9</v>
      </c>
      <c r="G3" s="187">
        <v>2</v>
      </c>
      <c r="H3" s="187">
        <v>4</v>
      </c>
      <c r="I3" s="187">
        <v>9</v>
      </c>
      <c r="J3" s="187">
        <v>5</v>
      </c>
      <c r="K3" s="187">
        <v>2.6</v>
      </c>
      <c r="L3" s="187">
        <v>2</v>
      </c>
      <c r="M3" s="187">
        <v>1.9</v>
      </c>
      <c r="N3" s="187">
        <v>5</v>
      </c>
      <c r="O3" s="187">
        <v>2.6315789473684212</v>
      </c>
      <c r="P3" s="187">
        <v>2.2000000000000002</v>
      </c>
      <c r="Q3" s="187">
        <v>2.2999999999999998</v>
      </c>
      <c r="R3" s="187">
        <v>2.8</v>
      </c>
      <c r="S3" s="187">
        <v>5</v>
      </c>
      <c r="T3" s="187">
        <v>2.2727272727272725</v>
      </c>
      <c r="U3" s="187">
        <v>1.45</v>
      </c>
      <c r="V3" s="187">
        <v>1.5</v>
      </c>
      <c r="W3" s="187">
        <v>2.1</v>
      </c>
      <c r="X3" s="187">
        <v>5</v>
      </c>
      <c r="Y3" s="187">
        <v>3.4482758620689657</v>
      </c>
    </row>
    <row r="4" spans="1:25">
      <c r="A4" s="17" t="s">
        <v>111</v>
      </c>
      <c r="B4" s="17">
        <v>1</v>
      </c>
      <c r="C4" s="17">
        <v>7</v>
      </c>
      <c r="D4" s="17">
        <v>5</v>
      </c>
      <c r="E4" s="17">
        <v>6</v>
      </c>
      <c r="F4" s="17">
        <v>5</v>
      </c>
      <c r="G4" s="187">
        <v>2</v>
      </c>
      <c r="H4" s="187">
        <v>7</v>
      </c>
      <c r="I4" s="187">
        <v>7</v>
      </c>
      <c r="J4" s="187">
        <v>4</v>
      </c>
      <c r="K4" s="187">
        <v>2.2999999999999998</v>
      </c>
      <c r="L4" s="187">
        <v>3.2</v>
      </c>
      <c r="M4" s="187">
        <v>1.9</v>
      </c>
      <c r="N4" s="187">
        <v>5</v>
      </c>
      <c r="O4" s="187">
        <v>2.6315789473684212</v>
      </c>
      <c r="P4" s="187">
        <v>3.4</v>
      </c>
      <c r="Q4" s="187">
        <v>2.5</v>
      </c>
      <c r="R4" s="187">
        <v>3.5</v>
      </c>
      <c r="S4" s="187">
        <v>4</v>
      </c>
      <c r="T4" s="187">
        <v>1.6</v>
      </c>
      <c r="U4" s="187">
        <v>1.8</v>
      </c>
      <c r="V4" s="187">
        <v>1.9</v>
      </c>
      <c r="W4" s="187">
        <v>2.9</v>
      </c>
      <c r="X4" s="187">
        <v>3</v>
      </c>
      <c r="Y4" s="187">
        <v>1.6666666666666665</v>
      </c>
    </row>
    <row r="5" spans="1:25">
      <c r="A5" s="17" t="s">
        <v>105</v>
      </c>
      <c r="B5" s="17">
        <v>1</v>
      </c>
      <c r="C5" s="17">
        <v>4</v>
      </c>
      <c r="D5" s="17">
        <v>2</v>
      </c>
      <c r="E5" s="17">
        <v>2</v>
      </c>
      <c r="F5" s="17">
        <v>3</v>
      </c>
      <c r="G5" s="187">
        <v>1</v>
      </c>
      <c r="H5" s="187">
        <v>9</v>
      </c>
      <c r="I5" s="187">
        <v>6</v>
      </c>
      <c r="J5" s="187">
        <v>4</v>
      </c>
      <c r="L5" s="187">
        <v>5.5</v>
      </c>
      <c r="M5" s="187">
        <v>3</v>
      </c>
      <c r="N5" s="187">
        <v>2</v>
      </c>
      <c r="O5" s="187">
        <v>0.66666666666666663</v>
      </c>
      <c r="Q5" s="187">
        <v>4</v>
      </c>
      <c r="S5" s="187">
        <v>2</v>
      </c>
      <c r="T5" s="187">
        <v>0.5</v>
      </c>
      <c r="U5" s="187">
        <v>4.3</v>
      </c>
      <c r="V5" s="187">
        <v>3.2</v>
      </c>
      <c r="X5" s="187">
        <v>2</v>
      </c>
      <c r="Y5" s="187">
        <v>0.625</v>
      </c>
    </row>
    <row r="6" spans="1:25">
      <c r="A6" s="17" t="s">
        <v>112</v>
      </c>
      <c r="B6" s="17">
        <v>1</v>
      </c>
      <c r="C6" s="17">
        <v>9</v>
      </c>
      <c r="D6" s="17">
        <v>6</v>
      </c>
      <c r="E6" s="17">
        <v>6</v>
      </c>
      <c r="F6" s="17">
        <v>6</v>
      </c>
      <c r="G6" s="187">
        <v>3</v>
      </c>
      <c r="H6" s="187">
        <v>6</v>
      </c>
      <c r="I6" s="187">
        <v>9</v>
      </c>
      <c r="J6" s="187">
        <v>5</v>
      </c>
      <c r="K6" s="187">
        <v>2.2999999999999998</v>
      </c>
      <c r="L6" s="187">
        <v>2.5</v>
      </c>
      <c r="M6" s="187">
        <v>3.2</v>
      </c>
      <c r="N6" s="187">
        <v>4</v>
      </c>
      <c r="O6" s="187">
        <v>1.7391304347826089</v>
      </c>
      <c r="P6" s="187">
        <v>4.0999999999999996</v>
      </c>
      <c r="Q6" s="187">
        <v>4</v>
      </c>
      <c r="R6" s="187">
        <v>3.1</v>
      </c>
      <c r="S6" s="187">
        <v>4</v>
      </c>
      <c r="T6" s="187">
        <v>1.2903225806451613</v>
      </c>
      <c r="U6" s="187">
        <v>1.7</v>
      </c>
      <c r="V6" s="187">
        <v>2.2999999999999998</v>
      </c>
      <c r="W6" s="187">
        <v>2.1</v>
      </c>
      <c r="X6" s="187">
        <v>4</v>
      </c>
      <c r="Y6" s="187">
        <v>2.3529411764705883</v>
      </c>
    </row>
    <row r="7" spans="1:25">
      <c r="A7" s="17" t="s">
        <v>12</v>
      </c>
      <c r="B7" s="17">
        <v>1</v>
      </c>
      <c r="C7" s="17">
        <v>6</v>
      </c>
      <c r="D7" s="17">
        <v>5</v>
      </c>
      <c r="E7" s="17">
        <v>4</v>
      </c>
      <c r="F7" s="17">
        <v>3</v>
      </c>
      <c r="G7" s="187">
        <v>1</v>
      </c>
      <c r="H7" s="187">
        <v>6</v>
      </c>
      <c r="I7" s="187">
        <v>8</v>
      </c>
      <c r="J7" s="187">
        <v>5</v>
      </c>
      <c r="K7" s="187">
        <v>4.3</v>
      </c>
      <c r="L7" s="187">
        <v>3</v>
      </c>
      <c r="M7" s="187">
        <v>2.5</v>
      </c>
      <c r="N7" s="187">
        <v>2</v>
      </c>
      <c r="O7" s="187">
        <v>0.8</v>
      </c>
      <c r="P7" s="187">
        <v>4</v>
      </c>
      <c r="Q7" s="187">
        <v>2.2999999999999998</v>
      </c>
      <c r="R7" s="187">
        <v>3.7</v>
      </c>
      <c r="S7" s="187">
        <v>4</v>
      </c>
      <c r="T7" s="187">
        <v>1.7391304347826089</v>
      </c>
      <c r="U7" s="187">
        <v>2.25</v>
      </c>
      <c r="V7" s="187">
        <v>3</v>
      </c>
      <c r="X7" s="187">
        <v>3</v>
      </c>
      <c r="Y7" s="187">
        <v>1.3333333333333333</v>
      </c>
    </row>
    <row r="8" spans="1:25">
      <c r="A8" s="17" t="s">
        <v>106</v>
      </c>
      <c r="B8" s="17">
        <v>1</v>
      </c>
      <c r="C8" s="17">
        <v>8</v>
      </c>
      <c r="D8" s="17">
        <v>6</v>
      </c>
      <c r="E8" s="17">
        <v>6</v>
      </c>
      <c r="F8" s="17">
        <v>4</v>
      </c>
      <c r="G8" s="187">
        <v>5</v>
      </c>
      <c r="H8" s="187">
        <v>11</v>
      </c>
      <c r="I8" s="187">
        <v>6</v>
      </c>
      <c r="J8" s="187">
        <v>6</v>
      </c>
      <c r="K8" s="187">
        <v>2.2999999999999998</v>
      </c>
      <c r="L8" s="187">
        <v>2.5</v>
      </c>
      <c r="M8" s="187">
        <v>2.2999999999999998</v>
      </c>
      <c r="N8" s="187">
        <v>3</v>
      </c>
      <c r="O8" s="187">
        <v>1.3043478260869565</v>
      </c>
      <c r="Q8" s="187">
        <v>4.5</v>
      </c>
      <c r="R8" s="187">
        <v>3.9</v>
      </c>
      <c r="S8" s="187">
        <v>3</v>
      </c>
      <c r="T8" s="187">
        <v>0.76923076923076927</v>
      </c>
      <c r="U8" s="187">
        <v>1.9</v>
      </c>
      <c r="V8" s="187">
        <v>2</v>
      </c>
      <c r="W8" s="187">
        <v>2</v>
      </c>
      <c r="X8" s="187">
        <v>3</v>
      </c>
      <c r="Y8" s="187">
        <v>1.5789473684210527</v>
      </c>
    </row>
    <row r="9" spans="1:25">
      <c r="A9" s="17" t="s">
        <v>107</v>
      </c>
      <c r="B9" s="17">
        <v>1</v>
      </c>
      <c r="C9" s="17">
        <v>7</v>
      </c>
      <c r="D9" s="17">
        <v>6</v>
      </c>
      <c r="E9" s="17">
        <v>5</v>
      </c>
      <c r="F9" s="17">
        <v>4</v>
      </c>
      <c r="G9" s="187">
        <v>2</v>
      </c>
      <c r="H9" s="187">
        <v>10</v>
      </c>
      <c r="I9" s="187">
        <v>6</v>
      </c>
      <c r="J9" s="187">
        <v>4</v>
      </c>
      <c r="K9" s="187">
        <v>2</v>
      </c>
      <c r="L9" s="187">
        <v>2.2000000000000002</v>
      </c>
      <c r="M9" s="187">
        <v>2.2999999999999998</v>
      </c>
      <c r="N9" s="187">
        <v>4</v>
      </c>
      <c r="O9" s="187">
        <v>2</v>
      </c>
      <c r="P9" s="187">
        <v>5</v>
      </c>
      <c r="Q9" s="187">
        <v>3.7</v>
      </c>
      <c r="R9" s="187">
        <v>4.0999999999999996</v>
      </c>
      <c r="S9" s="187">
        <v>3</v>
      </c>
      <c r="T9" s="187">
        <v>0.81081081081081074</v>
      </c>
      <c r="U9" s="187">
        <v>2.8</v>
      </c>
      <c r="V9" s="187">
        <v>2.5</v>
      </c>
      <c r="W9" s="187">
        <v>2.6</v>
      </c>
      <c r="X9" s="187">
        <v>3</v>
      </c>
      <c r="Y9" s="187">
        <v>1.2</v>
      </c>
    </row>
    <row r="10" spans="1:25">
      <c r="A10" s="17" t="s">
        <v>108</v>
      </c>
      <c r="B10" s="17">
        <v>1</v>
      </c>
      <c r="C10" s="17">
        <v>7</v>
      </c>
      <c r="D10" s="17">
        <v>6</v>
      </c>
      <c r="E10" s="17">
        <v>5</v>
      </c>
      <c r="F10" s="17">
        <v>5</v>
      </c>
      <c r="G10" s="187">
        <v>4</v>
      </c>
      <c r="H10" s="187">
        <v>8</v>
      </c>
      <c r="I10" s="187">
        <v>9</v>
      </c>
      <c r="J10" s="187">
        <v>6</v>
      </c>
      <c r="K10" s="187">
        <v>2.2999999999999998</v>
      </c>
      <c r="L10" s="187">
        <v>2.2000000000000002</v>
      </c>
      <c r="M10" s="187">
        <v>2.1</v>
      </c>
      <c r="N10" s="187">
        <v>3</v>
      </c>
      <c r="O10" s="187">
        <v>1.4285714285714286</v>
      </c>
      <c r="P10" s="187">
        <v>4.5</v>
      </c>
      <c r="Q10" s="187">
        <v>3.9</v>
      </c>
      <c r="R10" s="187">
        <v>4.0999999999999996</v>
      </c>
      <c r="S10" s="187">
        <v>3</v>
      </c>
      <c r="T10" s="187">
        <v>0.76923076923076927</v>
      </c>
      <c r="U10" s="187">
        <v>2.5</v>
      </c>
      <c r="V10" s="187">
        <v>2.2999999999999998</v>
      </c>
      <c r="W10" s="187">
        <v>3</v>
      </c>
      <c r="X10" s="187">
        <v>3</v>
      </c>
      <c r="Y10" s="187">
        <v>1.3043478260869565</v>
      </c>
    </row>
    <row r="11" spans="1:25">
      <c r="A11" s="17" t="s">
        <v>109</v>
      </c>
      <c r="B11" s="17">
        <v>1</v>
      </c>
      <c r="C11" s="17">
        <v>13</v>
      </c>
      <c r="D11" s="17">
        <v>11</v>
      </c>
      <c r="E11" s="17">
        <v>10</v>
      </c>
      <c r="F11" s="17">
        <v>9</v>
      </c>
      <c r="G11" s="187">
        <v>6</v>
      </c>
      <c r="H11" s="187">
        <v>8</v>
      </c>
      <c r="I11" s="187">
        <v>10</v>
      </c>
      <c r="J11" s="187">
        <v>5</v>
      </c>
      <c r="K11" s="187">
        <v>2</v>
      </c>
      <c r="L11" s="187">
        <v>1.6</v>
      </c>
      <c r="M11" s="187">
        <v>1.4</v>
      </c>
      <c r="N11" s="187">
        <v>5</v>
      </c>
      <c r="O11" s="187">
        <v>3.5714285714285716</v>
      </c>
      <c r="P11" s="187">
        <v>2.2999999999999998</v>
      </c>
      <c r="Q11" s="187">
        <v>2</v>
      </c>
      <c r="R11" s="187">
        <v>2.5</v>
      </c>
      <c r="S11" s="187">
        <v>5</v>
      </c>
      <c r="T11" s="187">
        <v>2.5</v>
      </c>
      <c r="U11" s="187">
        <v>2</v>
      </c>
      <c r="V11" s="187">
        <v>1.3</v>
      </c>
      <c r="W11" s="187">
        <v>2</v>
      </c>
      <c r="X11" s="187">
        <v>5</v>
      </c>
      <c r="Y11" s="187">
        <v>3.8461538461538458</v>
      </c>
    </row>
    <row r="12" spans="1:25" ht="15.75">
      <c r="A12" s="133" t="s">
        <v>113</v>
      </c>
      <c r="B12" s="133">
        <v>0</v>
      </c>
      <c r="C12" s="17">
        <v>7</v>
      </c>
      <c r="D12" s="17">
        <v>7</v>
      </c>
      <c r="E12" s="17">
        <v>6</v>
      </c>
      <c r="F12" s="17">
        <v>5</v>
      </c>
      <c r="G12" s="187">
        <v>4</v>
      </c>
      <c r="H12" s="187">
        <v>6</v>
      </c>
      <c r="I12" s="187">
        <v>9</v>
      </c>
      <c r="J12" s="187">
        <v>6</v>
      </c>
      <c r="K12" s="187">
        <v>2.5</v>
      </c>
      <c r="L12" s="187">
        <v>3.5</v>
      </c>
      <c r="M12" s="187">
        <v>2.2000000000000002</v>
      </c>
      <c r="N12" s="187">
        <v>3</v>
      </c>
      <c r="O12" s="187">
        <v>1.3636363636363635</v>
      </c>
      <c r="P12" s="187">
        <v>3</v>
      </c>
      <c r="Q12" s="187">
        <v>3.3</v>
      </c>
      <c r="R12" s="187">
        <v>3.6</v>
      </c>
      <c r="S12" s="187">
        <v>4</v>
      </c>
      <c r="T12" s="187">
        <v>1.3333333333333333</v>
      </c>
      <c r="U12" s="187">
        <v>1.9</v>
      </c>
      <c r="V12" s="187">
        <v>2.2999999999999998</v>
      </c>
      <c r="W12" s="187">
        <v>1.5</v>
      </c>
      <c r="X12" s="187">
        <v>5</v>
      </c>
      <c r="Y12" s="187">
        <v>2.6315789473684217</v>
      </c>
    </row>
    <row r="13" spans="1:25" ht="15.75">
      <c r="A13" s="133" t="s">
        <v>114</v>
      </c>
      <c r="B13" s="133">
        <v>0</v>
      </c>
      <c r="C13" s="17">
        <v>4</v>
      </c>
      <c r="D13" s="17">
        <v>4</v>
      </c>
      <c r="E13" s="17">
        <v>3</v>
      </c>
      <c r="F13" s="17">
        <v>4</v>
      </c>
      <c r="G13" s="187">
        <v>3</v>
      </c>
      <c r="H13" s="187">
        <v>4</v>
      </c>
      <c r="I13" s="187">
        <v>8</v>
      </c>
      <c r="J13" s="187">
        <v>5</v>
      </c>
      <c r="K13" s="187">
        <v>3.3</v>
      </c>
      <c r="L13" s="187">
        <v>2.9</v>
      </c>
      <c r="M13" s="187">
        <v>3.5</v>
      </c>
      <c r="N13" s="187">
        <v>3</v>
      </c>
      <c r="O13" s="187">
        <v>1.0344827586206897</v>
      </c>
      <c r="P13" s="187">
        <v>3.5</v>
      </c>
      <c r="Q13" s="187">
        <v>4</v>
      </c>
      <c r="R13" s="187">
        <v>3</v>
      </c>
      <c r="S13" s="187">
        <v>4</v>
      </c>
      <c r="T13" s="187">
        <v>1.3333333333333333</v>
      </c>
      <c r="U13" s="187">
        <v>2</v>
      </c>
      <c r="V13" s="187">
        <v>1.8</v>
      </c>
      <c r="W13" s="187">
        <v>1.5</v>
      </c>
      <c r="X13" s="187">
        <v>5</v>
      </c>
      <c r="Y13" s="187">
        <v>3.3333333333333335</v>
      </c>
    </row>
    <row r="14" spans="1:25" ht="15.75">
      <c r="A14" s="133" t="s">
        <v>115</v>
      </c>
      <c r="B14" s="133">
        <v>0</v>
      </c>
      <c r="C14" s="17">
        <v>8</v>
      </c>
      <c r="D14" s="17">
        <v>9</v>
      </c>
      <c r="E14" s="17">
        <v>6</v>
      </c>
      <c r="F14" s="17">
        <v>4</v>
      </c>
      <c r="G14" s="187">
        <v>3</v>
      </c>
      <c r="H14" s="187">
        <v>6</v>
      </c>
      <c r="I14" s="187">
        <v>9</v>
      </c>
      <c r="J14" s="187">
        <v>4</v>
      </c>
      <c r="K14" s="187">
        <v>3.6</v>
      </c>
      <c r="L14" s="187">
        <v>3.4</v>
      </c>
      <c r="M14" s="187">
        <v>2.8</v>
      </c>
      <c r="N14" s="187">
        <v>3</v>
      </c>
      <c r="O14" s="187">
        <v>1.0714285714285714</v>
      </c>
      <c r="P14" s="187">
        <v>3.5</v>
      </c>
      <c r="Q14" s="187">
        <v>4</v>
      </c>
      <c r="R14" s="187">
        <v>4.0999999999999996</v>
      </c>
      <c r="S14" s="187">
        <v>4</v>
      </c>
      <c r="T14" s="187">
        <v>1.1428571428571428</v>
      </c>
      <c r="U14" s="187">
        <v>3.1</v>
      </c>
      <c r="V14" s="187">
        <v>2.2999999999999998</v>
      </c>
      <c r="W14" s="187">
        <v>3.3</v>
      </c>
      <c r="X14" s="187">
        <v>4</v>
      </c>
      <c r="Y14" s="187">
        <v>1.7391304347826089</v>
      </c>
    </row>
    <row r="15" spans="1:25" ht="15.75">
      <c r="A15" s="133" t="s">
        <v>116</v>
      </c>
      <c r="B15" s="133">
        <v>0</v>
      </c>
      <c r="C15" s="17">
        <v>7</v>
      </c>
      <c r="D15" s="17">
        <v>4</v>
      </c>
      <c r="E15" s="17">
        <v>4</v>
      </c>
      <c r="F15" s="17">
        <v>3</v>
      </c>
      <c r="G15" s="187">
        <v>2</v>
      </c>
      <c r="H15" s="187">
        <v>8</v>
      </c>
      <c r="I15" s="187">
        <v>8</v>
      </c>
      <c r="J15" s="187">
        <v>4</v>
      </c>
      <c r="K15" s="187">
        <v>2.6</v>
      </c>
      <c r="L15" s="187">
        <v>2.1</v>
      </c>
      <c r="M15" s="187">
        <v>3.5</v>
      </c>
      <c r="N15" s="187">
        <v>4</v>
      </c>
      <c r="O15" s="187">
        <v>1.9047619047619047</v>
      </c>
      <c r="P15" s="187">
        <v>5</v>
      </c>
      <c r="Q15" s="187">
        <v>3.9</v>
      </c>
      <c r="R15" s="187">
        <v>4.5</v>
      </c>
      <c r="S15" s="187">
        <v>3</v>
      </c>
      <c r="T15" s="187">
        <v>0.76923076923076927</v>
      </c>
      <c r="U15" s="187">
        <v>1.6</v>
      </c>
      <c r="V15" s="187">
        <v>2</v>
      </c>
      <c r="W15" s="187">
        <v>1.9</v>
      </c>
      <c r="X15" s="187">
        <v>5</v>
      </c>
      <c r="Y15" s="187">
        <v>3.125</v>
      </c>
    </row>
    <row r="16" spans="1:25" ht="15.75">
      <c r="A16" s="133" t="s">
        <v>117</v>
      </c>
      <c r="B16" s="133">
        <v>0</v>
      </c>
      <c r="C16" s="17">
        <v>9</v>
      </c>
      <c r="D16" s="17">
        <v>10</v>
      </c>
      <c r="E16" s="17">
        <v>6</v>
      </c>
      <c r="F16" s="17">
        <v>6</v>
      </c>
      <c r="G16" s="187">
        <v>3</v>
      </c>
      <c r="H16" s="187">
        <v>8</v>
      </c>
      <c r="I16" s="187">
        <v>10</v>
      </c>
      <c r="J16" s="187">
        <v>4</v>
      </c>
      <c r="K16" s="187">
        <v>2.2999999999999998</v>
      </c>
      <c r="L16" s="187">
        <v>2.5</v>
      </c>
      <c r="M16" s="187">
        <v>2.9</v>
      </c>
      <c r="N16" s="187">
        <v>4</v>
      </c>
      <c r="O16" s="187">
        <v>1.7391304347826089</v>
      </c>
      <c r="P16" s="187">
        <v>4</v>
      </c>
      <c r="Q16" s="187">
        <v>3.9</v>
      </c>
      <c r="R16" s="187">
        <v>3.6</v>
      </c>
      <c r="S16" s="187">
        <v>3</v>
      </c>
      <c r="T16" s="187">
        <v>0.83333333333333326</v>
      </c>
      <c r="U16" s="187">
        <v>2.2000000000000002</v>
      </c>
      <c r="V16" s="187">
        <v>2.9</v>
      </c>
      <c r="W16" s="187">
        <v>2.1</v>
      </c>
      <c r="X16" s="187">
        <v>5</v>
      </c>
      <c r="Y16" s="187">
        <v>2.3809523809523809</v>
      </c>
    </row>
    <row r="17" spans="1:25" ht="15.75">
      <c r="A17" s="133" t="s">
        <v>118</v>
      </c>
      <c r="B17" s="133">
        <v>0</v>
      </c>
      <c r="C17" s="17">
        <v>6</v>
      </c>
      <c r="D17" s="17">
        <v>6</v>
      </c>
      <c r="E17" s="17">
        <v>5</v>
      </c>
      <c r="F17" s="17">
        <v>3</v>
      </c>
      <c r="G17" s="187">
        <v>1</v>
      </c>
      <c r="H17" s="187">
        <v>7</v>
      </c>
      <c r="I17" s="187">
        <v>7</v>
      </c>
      <c r="J17" s="187">
        <v>4</v>
      </c>
      <c r="K17" s="187">
        <v>3.6</v>
      </c>
      <c r="L17" s="187">
        <v>3.5</v>
      </c>
      <c r="M17" s="187">
        <v>3.4</v>
      </c>
      <c r="N17" s="187">
        <v>3</v>
      </c>
      <c r="O17" s="187">
        <v>0.88235294117647056</v>
      </c>
      <c r="P17" s="187">
        <v>4.0999999999999996</v>
      </c>
      <c r="Q17" s="187">
        <v>3.3</v>
      </c>
      <c r="R17" s="187">
        <v>3.5</v>
      </c>
      <c r="S17" s="187">
        <v>3</v>
      </c>
      <c r="T17" s="187">
        <v>0.90909090909090917</v>
      </c>
      <c r="U17" s="187">
        <v>2.5</v>
      </c>
      <c r="V17" s="187">
        <v>3.2</v>
      </c>
      <c r="W17" s="187">
        <v>3.3</v>
      </c>
      <c r="X17" s="187">
        <v>3</v>
      </c>
      <c r="Y17" s="187">
        <v>1.2</v>
      </c>
    </row>
    <row r="18" spans="1:25" ht="15.75">
      <c r="A18" s="133" t="s">
        <v>118</v>
      </c>
      <c r="B18" s="133">
        <v>0</v>
      </c>
      <c r="C18" s="17">
        <v>8</v>
      </c>
      <c r="D18" s="17">
        <v>9</v>
      </c>
      <c r="E18" s="17">
        <v>6</v>
      </c>
      <c r="F18" s="17">
        <v>7</v>
      </c>
      <c r="G18" s="187">
        <v>6</v>
      </c>
      <c r="H18" s="187">
        <v>12</v>
      </c>
      <c r="I18" s="187">
        <v>7</v>
      </c>
      <c r="J18" s="187">
        <v>5</v>
      </c>
      <c r="K18" s="187">
        <v>3</v>
      </c>
      <c r="L18" s="187">
        <v>1.9</v>
      </c>
      <c r="M18" s="187">
        <v>2.2000000000000002</v>
      </c>
      <c r="N18" s="187">
        <v>5</v>
      </c>
      <c r="O18" s="187">
        <v>2.6315789473684212</v>
      </c>
      <c r="P18" s="187">
        <v>2.2999999999999998</v>
      </c>
      <c r="Q18" s="187">
        <v>2.4</v>
      </c>
      <c r="R18" s="187">
        <v>2.8</v>
      </c>
      <c r="S18" s="187">
        <v>5</v>
      </c>
      <c r="T18" s="187">
        <v>2.1739130434782612</v>
      </c>
      <c r="U18" s="187">
        <v>3.5</v>
      </c>
      <c r="V18" s="187">
        <v>2.5</v>
      </c>
      <c r="W18" s="187">
        <v>3</v>
      </c>
      <c r="X18" s="187">
        <v>2</v>
      </c>
      <c r="Y18" s="187">
        <v>0.8</v>
      </c>
    </row>
    <row r="19" spans="1:25" ht="15.75">
      <c r="A19" s="133" t="s">
        <v>119</v>
      </c>
      <c r="B19" s="133">
        <v>0</v>
      </c>
      <c r="C19" s="17">
        <v>7</v>
      </c>
      <c r="D19" s="17">
        <v>6</v>
      </c>
      <c r="E19" s="17">
        <v>5</v>
      </c>
      <c r="F19" s="17">
        <v>4</v>
      </c>
      <c r="G19" s="187">
        <v>3</v>
      </c>
      <c r="H19" s="187">
        <v>11</v>
      </c>
      <c r="I19" s="187">
        <v>7</v>
      </c>
      <c r="J19" s="187">
        <v>4</v>
      </c>
      <c r="K19" s="187">
        <v>2.2000000000000002</v>
      </c>
      <c r="L19" s="187">
        <v>2.5</v>
      </c>
      <c r="M19" s="187">
        <v>2.8</v>
      </c>
      <c r="N19" s="187">
        <v>4</v>
      </c>
      <c r="O19" s="187">
        <v>1.8181818181818181</v>
      </c>
      <c r="P19" s="187">
        <v>4</v>
      </c>
      <c r="Q19" s="187">
        <v>3.9</v>
      </c>
      <c r="R19" s="187">
        <v>3.7</v>
      </c>
      <c r="S19" s="187">
        <v>3</v>
      </c>
      <c r="T19" s="187">
        <v>0.81081081081081074</v>
      </c>
      <c r="U19" s="187">
        <v>2.1</v>
      </c>
      <c r="V19" s="187">
        <v>1.9</v>
      </c>
      <c r="W19" s="187">
        <v>2.5</v>
      </c>
      <c r="X19" s="187">
        <v>3</v>
      </c>
      <c r="Y19" s="187">
        <v>1.5789473684210527</v>
      </c>
    </row>
    <row r="20" spans="1:25" ht="15.75">
      <c r="A20" s="133" t="s">
        <v>120</v>
      </c>
      <c r="B20" s="133">
        <v>0</v>
      </c>
      <c r="C20" s="17">
        <v>10</v>
      </c>
      <c r="D20" s="17">
        <v>9</v>
      </c>
      <c r="E20" s="17">
        <v>8</v>
      </c>
      <c r="F20" s="17">
        <v>6</v>
      </c>
      <c r="G20" s="187">
        <v>0</v>
      </c>
      <c r="H20" s="187">
        <v>8</v>
      </c>
      <c r="I20" s="187">
        <v>8</v>
      </c>
      <c r="J20" s="187">
        <v>4</v>
      </c>
      <c r="K20" s="187">
        <v>2.7</v>
      </c>
      <c r="L20" s="187">
        <v>3.1</v>
      </c>
      <c r="M20" s="187">
        <v>3.5</v>
      </c>
      <c r="N20" s="187">
        <v>4</v>
      </c>
      <c r="O20" s="187">
        <v>1.4814814814814814</v>
      </c>
      <c r="P20" s="187">
        <v>3.2</v>
      </c>
      <c r="Q20" s="187">
        <v>2.8</v>
      </c>
      <c r="R20" s="187">
        <v>3.5</v>
      </c>
      <c r="S20" s="187">
        <v>4</v>
      </c>
      <c r="T20" s="187">
        <v>1.4285714285714286</v>
      </c>
      <c r="U20" s="187">
        <v>3.3</v>
      </c>
      <c r="V20" s="187">
        <v>3.5</v>
      </c>
      <c r="W20" s="187">
        <v>3</v>
      </c>
      <c r="X20" s="187">
        <v>2</v>
      </c>
      <c r="Y20" s="187">
        <v>0.66666666666666663</v>
      </c>
    </row>
    <row r="21" spans="1:25" ht="15.75">
      <c r="A21" s="134" t="s">
        <v>121</v>
      </c>
      <c r="B21" s="133">
        <v>0</v>
      </c>
      <c r="C21" s="17">
        <v>12</v>
      </c>
      <c r="D21" s="17">
        <v>11</v>
      </c>
      <c r="E21" s="17">
        <v>8</v>
      </c>
      <c r="F21" s="17">
        <v>7</v>
      </c>
      <c r="G21" s="187">
        <v>4</v>
      </c>
      <c r="H21" s="187">
        <v>6</v>
      </c>
      <c r="I21" s="187">
        <v>12</v>
      </c>
      <c r="J21" s="187">
        <v>8</v>
      </c>
      <c r="K21" s="187">
        <v>2.2000000000000002</v>
      </c>
      <c r="L21" s="187">
        <v>3.5</v>
      </c>
      <c r="M21" s="187">
        <v>1.4</v>
      </c>
      <c r="N21" s="187">
        <v>5</v>
      </c>
      <c r="O21" s="187">
        <v>3.5714285714285716</v>
      </c>
      <c r="P21" s="187">
        <v>2.5</v>
      </c>
      <c r="Q21" s="187">
        <v>2.2999999999999998</v>
      </c>
      <c r="R21" s="187">
        <v>2.4</v>
      </c>
      <c r="S21" s="187">
        <v>5</v>
      </c>
      <c r="T21" s="187">
        <v>2.1739130434782612</v>
      </c>
      <c r="U21" s="187">
        <v>2.5</v>
      </c>
      <c r="V21" s="187">
        <v>2</v>
      </c>
      <c r="W21" s="187">
        <v>1.9</v>
      </c>
      <c r="X21" s="187">
        <v>5</v>
      </c>
      <c r="Y21" s="187">
        <v>2.6315789473684212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topLeftCell="A7" zoomScale="80" zoomScaleNormal="80" workbookViewId="0">
      <selection activeCell="Q7" sqref="Q7"/>
    </sheetView>
  </sheetViews>
  <sheetFormatPr defaultColWidth="8.7109375" defaultRowHeight="15"/>
  <cols>
    <col min="1" max="1" width="4.42578125" style="1" customWidth="1"/>
    <col min="2" max="2" width="16.5703125" style="1" bestFit="1" customWidth="1"/>
    <col min="3" max="3" width="10.42578125" style="1" customWidth="1"/>
    <col min="4" max="4" width="10.140625" style="1" customWidth="1"/>
    <col min="5" max="6" width="8.140625" style="1" customWidth="1"/>
    <col min="7" max="7" width="9.28515625" style="1" customWidth="1"/>
    <col min="8" max="8" width="18.28515625" style="1" customWidth="1"/>
    <col min="9" max="9" width="21.7109375" style="1" customWidth="1"/>
    <col min="10" max="10" width="18" style="1" customWidth="1"/>
    <col min="11" max="16384" width="8.7109375" style="1"/>
  </cols>
  <sheetData>
    <row r="1" spans="1:12" ht="45" customHeight="1" thickBot="1">
      <c r="A1" s="169" t="s">
        <v>102</v>
      </c>
      <c r="B1" s="169"/>
      <c r="C1" s="169"/>
      <c r="D1" s="169"/>
      <c r="E1" s="169"/>
      <c r="F1" s="169"/>
      <c r="G1" s="169"/>
      <c r="H1" s="169"/>
      <c r="I1" s="169"/>
      <c r="J1" s="169"/>
    </row>
    <row r="2" spans="1:12" ht="69" customHeight="1" thickTop="1" thickBot="1">
      <c r="A2" s="82" t="s">
        <v>0</v>
      </c>
      <c r="B2" s="83" t="s">
        <v>1</v>
      </c>
      <c r="C2" s="83" t="s">
        <v>2</v>
      </c>
      <c r="D2" s="83" t="s">
        <v>17</v>
      </c>
      <c r="E2" s="170" t="s">
        <v>3</v>
      </c>
      <c r="F2" s="171"/>
      <c r="G2" s="172"/>
      <c r="H2" s="82" t="s">
        <v>4</v>
      </c>
      <c r="I2" s="84" t="s">
        <v>5</v>
      </c>
      <c r="J2" s="82" t="s">
        <v>6</v>
      </c>
    </row>
    <row r="3" spans="1:12" ht="15.75">
      <c r="A3" s="150">
        <v>1</v>
      </c>
      <c r="B3" s="150" t="s">
        <v>7</v>
      </c>
      <c r="C3" s="150">
        <v>14</v>
      </c>
      <c r="D3" s="106">
        <v>1</v>
      </c>
      <c r="E3" s="107">
        <v>1.25</v>
      </c>
      <c r="F3" s="57">
        <v>1.45</v>
      </c>
      <c r="G3" s="68">
        <v>2.5</v>
      </c>
      <c r="H3" s="156"/>
      <c r="I3" s="173">
        <f>эффективность!E3</f>
        <v>0.8</v>
      </c>
      <c r="J3" s="177">
        <f>стабильность!G3</f>
        <v>0.9</v>
      </c>
      <c r="K3" s="109"/>
    </row>
    <row r="4" spans="1:12" ht="15.75">
      <c r="A4" s="151"/>
      <c r="B4" s="151"/>
      <c r="C4" s="151"/>
      <c r="D4" s="89">
        <v>2</v>
      </c>
      <c r="E4" s="90">
        <v>2.1</v>
      </c>
      <c r="F4" s="2">
        <v>2.2000000000000002</v>
      </c>
      <c r="G4" s="52">
        <v>2.2999999999999998</v>
      </c>
      <c r="H4" s="157"/>
      <c r="I4" s="174"/>
      <c r="J4" s="178"/>
      <c r="K4" s="109"/>
      <c r="L4" s="16"/>
    </row>
    <row r="5" spans="1:12" ht="16.5" thickBot="1">
      <c r="A5" s="152"/>
      <c r="B5" s="152"/>
      <c r="C5" s="152"/>
      <c r="D5" s="86">
        <v>3</v>
      </c>
      <c r="E5" s="87">
        <v>4</v>
      </c>
      <c r="F5" s="88">
        <v>1.9</v>
      </c>
      <c r="G5" s="54">
        <v>2.2999999999999998</v>
      </c>
      <c r="H5" s="158"/>
      <c r="I5" s="175"/>
      <c r="J5" s="179"/>
      <c r="K5" s="109"/>
    </row>
    <row r="6" spans="1:12" ht="15.75">
      <c r="A6" s="150">
        <v>2</v>
      </c>
      <c r="B6" s="150" t="s">
        <v>8</v>
      </c>
      <c r="C6" s="153">
        <v>14</v>
      </c>
      <c r="D6" s="67">
        <v>1</v>
      </c>
      <c r="E6" s="91">
        <v>1.45</v>
      </c>
      <c r="F6" s="57">
        <v>1.5</v>
      </c>
      <c r="G6" s="58">
        <v>2.1</v>
      </c>
      <c r="H6" s="156"/>
      <c r="I6" s="159">
        <f>эффективность!E4</f>
        <v>0.5</v>
      </c>
      <c r="J6" s="177">
        <f>стабильность!G4</f>
        <v>1</v>
      </c>
      <c r="K6" s="109"/>
    </row>
    <row r="7" spans="1:12" ht="15.75">
      <c r="A7" s="151"/>
      <c r="B7" s="151"/>
      <c r="C7" s="154"/>
      <c r="D7" s="81">
        <v>2</v>
      </c>
      <c r="E7" s="92">
        <v>2.2000000000000002</v>
      </c>
      <c r="F7" s="2">
        <v>2.2999999999999998</v>
      </c>
      <c r="G7" s="52">
        <v>2.8</v>
      </c>
      <c r="H7" s="157"/>
      <c r="I7" s="160"/>
      <c r="J7" s="178"/>
      <c r="K7" s="109"/>
    </row>
    <row r="8" spans="1:12" ht="16.5" thickBot="1">
      <c r="A8" s="152"/>
      <c r="B8" s="152"/>
      <c r="C8" s="154"/>
      <c r="D8" s="93">
        <v>3</v>
      </c>
      <c r="E8" s="87">
        <v>2.6</v>
      </c>
      <c r="F8" s="73">
        <v>2</v>
      </c>
      <c r="G8" s="97">
        <v>1.9</v>
      </c>
      <c r="H8" s="158"/>
      <c r="I8" s="161"/>
      <c r="J8" s="179"/>
      <c r="K8" s="109"/>
    </row>
    <row r="9" spans="1:12" ht="15.75">
      <c r="A9" s="150">
        <v>3</v>
      </c>
      <c r="B9" s="150" t="s">
        <v>9</v>
      </c>
      <c r="C9" s="150">
        <v>15</v>
      </c>
      <c r="D9" s="67">
        <v>1</v>
      </c>
      <c r="E9" s="91">
        <v>1.8</v>
      </c>
      <c r="F9" s="95">
        <v>2.9</v>
      </c>
      <c r="G9" s="96">
        <v>1.9</v>
      </c>
      <c r="H9" s="165"/>
      <c r="I9" s="159">
        <f>эффективность!E5</f>
        <v>0.2857142857142857</v>
      </c>
      <c r="J9" s="177">
        <f>стабильность!G5</f>
        <v>0.7142857142857143</v>
      </c>
      <c r="K9" s="109"/>
    </row>
    <row r="10" spans="1:12" ht="15.75">
      <c r="A10" s="151"/>
      <c r="B10" s="151"/>
      <c r="C10" s="151"/>
      <c r="D10" s="89">
        <v>2</v>
      </c>
      <c r="E10" s="94">
        <v>3.4</v>
      </c>
      <c r="F10" s="5">
        <v>2.5</v>
      </c>
      <c r="G10" s="59">
        <v>3.5</v>
      </c>
      <c r="H10" s="157"/>
      <c r="I10" s="160"/>
      <c r="J10" s="178"/>
      <c r="K10" s="109"/>
    </row>
    <row r="11" spans="1:12" ht="16.5" thickBot="1">
      <c r="A11" s="152"/>
      <c r="B11" s="152"/>
      <c r="C11" s="152"/>
      <c r="D11" s="66">
        <v>3</v>
      </c>
      <c r="E11" s="80">
        <v>2.2999999999999998</v>
      </c>
      <c r="F11" s="73">
        <v>3.2</v>
      </c>
      <c r="G11" s="97">
        <v>1.9</v>
      </c>
      <c r="H11" s="158"/>
      <c r="I11" s="161"/>
      <c r="J11" s="179"/>
      <c r="K11" s="109"/>
    </row>
    <row r="12" spans="1:12" ht="15.75">
      <c r="A12" s="150">
        <v>4</v>
      </c>
      <c r="B12" s="166" t="s">
        <v>10</v>
      </c>
      <c r="C12" s="150">
        <v>13</v>
      </c>
      <c r="D12" s="79">
        <v>1</v>
      </c>
      <c r="E12" s="38">
        <v>4.3</v>
      </c>
      <c r="F12" s="95"/>
      <c r="G12" s="70">
        <v>3.2</v>
      </c>
      <c r="H12" s="165"/>
      <c r="I12" s="159">
        <f>эффективность!E6</f>
        <v>0.1111111111111111</v>
      </c>
      <c r="J12" s="177">
        <f>стабильность!G6</f>
        <v>0.75</v>
      </c>
      <c r="K12" s="109"/>
    </row>
    <row r="13" spans="1:12" ht="15.75">
      <c r="A13" s="151"/>
      <c r="B13" s="167"/>
      <c r="C13" s="151"/>
      <c r="D13" s="4">
        <v>2</v>
      </c>
      <c r="E13" s="3"/>
      <c r="F13" s="5">
        <v>4</v>
      </c>
      <c r="G13" s="52"/>
      <c r="H13" s="157"/>
      <c r="I13" s="160"/>
      <c r="J13" s="178"/>
      <c r="K13" s="109"/>
    </row>
    <row r="14" spans="1:12" ht="16.5" thickBot="1">
      <c r="A14" s="152"/>
      <c r="B14" s="168"/>
      <c r="C14" s="152"/>
      <c r="D14" s="78">
        <v>3</v>
      </c>
      <c r="E14" s="40"/>
      <c r="F14" s="63">
        <v>5.5</v>
      </c>
      <c r="G14" s="98">
        <v>3</v>
      </c>
      <c r="H14" s="158"/>
      <c r="I14" s="161"/>
      <c r="J14" s="179"/>
      <c r="K14" s="109"/>
    </row>
    <row r="15" spans="1:12" ht="15.75">
      <c r="A15" s="150">
        <v>5</v>
      </c>
      <c r="B15" s="150" t="s">
        <v>11</v>
      </c>
      <c r="C15" s="150">
        <v>14</v>
      </c>
      <c r="D15" s="76">
        <v>1</v>
      </c>
      <c r="E15" s="85">
        <v>1.7</v>
      </c>
      <c r="F15" s="57">
        <v>2.2999999999999998</v>
      </c>
      <c r="G15" s="58">
        <v>2.1</v>
      </c>
      <c r="H15" s="156"/>
      <c r="I15" s="159">
        <f>эффективность!E7</f>
        <v>0.5</v>
      </c>
      <c r="J15" s="177">
        <f>стабильность!G7</f>
        <v>0.66666666666666663</v>
      </c>
      <c r="K15" s="109"/>
    </row>
    <row r="16" spans="1:12" ht="15.75">
      <c r="A16" s="151"/>
      <c r="B16" s="151"/>
      <c r="C16" s="151"/>
      <c r="D16" s="4">
        <v>2</v>
      </c>
      <c r="E16" s="3">
        <v>4.0999999999999996</v>
      </c>
      <c r="F16" s="2">
        <v>4</v>
      </c>
      <c r="G16" s="53">
        <v>3.1</v>
      </c>
      <c r="H16" s="157"/>
      <c r="I16" s="160"/>
      <c r="J16" s="178"/>
      <c r="K16" s="109"/>
    </row>
    <row r="17" spans="1:11" ht="18" customHeight="1" thickBot="1">
      <c r="A17" s="152"/>
      <c r="B17" s="152"/>
      <c r="C17" s="152"/>
      <c r="D17" s="77">
        <v>3</v>
      </c>
      <c r="E17" s="71">
        <v>2.2999999999999998</v>
      </c>
      <c r="F17" s="63">
        <v>2.5</v>
      </c>
      <c r="G17" s="72">
        <v>3.2</v>
      </c>
      <c r="H17" s="158"/>
      <c r="I17" s="161"/>
      <c r="J17" s="179"/>
      <c r="K17" s="109"/>
    </row>
    <row r="18" spans="1:11" ht="15.75">
      <c r="A18" s="150">
        <v>6</v>
      </c>
      <c r="B18" s="150" t="s">
        <v>44</v>
      </c>
      <c r="C18" s="163">
        <v>15</v>
      </c>
      <c r="D18" s="104">
        <v>1</v>
      </c>
      <c r="E18" s="69"/>
      <c r="F18" s="105">
        <v>2.25</v>
      </c>
      <c r="G18" s="75">
        <v>3</v>
      </c>
      <c r="H18" s="165"/>
      <c r="I18" s="159">
        <f>эффективность!E8</f>
        <v>0.16666666666666666</v>
      </c>
      <c r="J18" s="177">
        <f>стабильность!G8</f>
        <v>0.5</v>
      </c>
      <c r="K18" s="109"/>
    </row>
    <row r="19" spans="1:11" ht="15.75">
      <c r="A19" s="151"/>
      <c r="B19" s="151"/>
      <c r="C19" s="163"/>
      <c r="D19" s="81">
        <v>2</v>
      </c>
      <c r="E19" s="61">
        <v>4</v>
      </c>
      <c r="F19" s="5">
        <v>2.2999999999999998</v>
      </c>
      <c r="G19" s="52">
        <v>3.7</v>
      </c>
      <c r="H19" s="157"/>
      <c r="I19" s="160"/>
      <c r="J19" s="178"/>
      <c r="K19" s="109"/>
    </row>
    <row r="20" spans="1:11" ht="16.5" thickBot="1">
      <c r="A20" s="152"/>
      <c r="B20" s="152"/>
      <c r="C20" s="164"/>
      <c r="D20" s="66">
        <v>3</v>
      </c>
      <c r="E20" s="65">
        <v>4.3</v>
      </c>
      <c r="F20" s="63">
        <v>3</v>
      </c>
      <c r="G20" s="56">
        <v>2.5</v>
      </c>
      <c r="H20" s="158"/>
      <c r="I20" s="161"/>
      <c r="J20" s="179"/>
      <c r="K20" s="109"/>
    </row>
    <row r="21" spans="1:11" ht="15.75">
      <c r="A21" s="150">
        <v>7</v>
      </c>
      <c r="B21" s="150" t="s">
        <v>13</v>
      </c>
      <c r="C21" s="163">
        <v>13</v>
      </c>
      <c r="D21" s="103">
        <v>1</v>
      </c>
      <c r="E21" s="91">
        <v>1.9</v>
      </c>
      <c r="F21" s="57">
        <v>2</v>
      </c>
      <c r="G21" s="75">
        <v>2</v>
      </c>
      <c r="H21" s="165"/>
      <c r="I21" s="159">
        <f>эффективность!E9</f>
        <v>0.45454545454545453</v>
      </c>
      <c r="J21" s="177">
        <f>стабильность!G9</f>
        <v>0.5</v>
      </c>
      <c r="K21" s="109"/>
    </row>
    <row r="22" spans="1:11" ht="15.75">
      <c r="A22" s="151"/>
      <c r="B22" s="151"/>
      <c r="C22" s="163"/>
      <c r="D22" s="81">
        <v>2</v>
      </c>
      <c r="E22" s="61"/>
      <c r="F22" s="2">
        <v>4.5</v>
      </c>
      <c r="G22" s="53">
        <v>3.9</v>
      </c>
      <c r="H22" s="157"/>
      <c r="I22" s="160"/>
      <c r="J22" s="178"/>
      <c r="K22" s="109"/>
    </row>
    <row r="23" spans="1:11" ht="16.5" thickBot="1">
      <c r="A23" s="152"/>
      <c r="B23" s="152"/>
      <c r="C23" s="164"/>
      <c r="D23" s="66">
        <v>3</v>
      </c>
      <c r="E23" s="99">
        <v>2.2999999999999998</v>
      </c>
      <c r="F23" s="63">
        <v>2.5</v>
      </c>
      <c r="G23" s="72">
        <v>2.2999999999999998</v>
      </c>
      <c r="H23" s="158"/>
      <c r="I23" s="161"/>
      <c r="J23" s="179"/>
      <c r="K23" s="109"/>
    </row>
    <row r="24" spans="1:11" ht="15.75">
      <c r="A24" s="150">
        <v>8</v>
      </c>
      <c r="B24" s="150" t="s">
        <v>14</v>
      </c>
      <c r="C24" s="163">
        <v>13</v>
      </c>
      <c r="D24" s="103">
        <v>1</v>
      </c>
      <c r="E24" s="62">
        <v>2.6</v>
      </c>
      <c r="F24" s="57">
        <v>2.8</v>
      </c>
      <c r="G24" s="70">
        <v>2.5</v>
      </c>
      <c r="H24" s="165"/>
      <c r="I24" s="159">
        <f>эффективность!E10</f>
        <v>0.2</v>
      </c>
      <c r="J24" s="177">
        <f>стабильность!G10</f>
        <v>0.5714285714285714</v>
      </c>
      <c r="K24" s="109"/>
    </row>
    <row r="25" spans="1:11" ht="15.75">
      <c r="A25" s="151"/>
      <c r="B25" s="151"/>
      <c r="C25" s="163"/>
      <c r="D25" s="81">
        <v>2</v>
      </c>
      <c r="E25" s="61">
        <v>5</v>
      </c>
      <c r="F25" s="5">
        <v>3.7</v>
      </c>
      <c r="G25" s="52">
        <v>4.0999999999999996</v>
      </c>
      <c r="H25" s="157"/>
      <c r="I25" s="160"/>
      <c r="J25" s="178"/>
      <c r="K25" s="109"/>
    </row>
    <row r="26" spans="1:11" ht="16.5" thickBot="1">
      <c r="A26" s="152"/>
      <c r="B26" s="152"/>
      <c r="C26" s="163"/>
      <c r="D26" s="66">
        <v>3</v>
      </c>
      <c r="E26" s="100">
        <v>2</v>
      </c>
      <c r="F26" s="73">
        <v>2.2000000000000002</v>
      </c>
      <c r="G26" s="60">
        <v>2.2999999999999998</v>
      </c>
      <c r="H26" s="158"/>
      <c r="I26" s="161"/>
      <c r="J26" s="179"/>
      <c r="K26" s="109"/>
    </row>
    <row r="27" spans="1:11" ht="15.75">
      <c r="A27" s="150">
        <v>9</v>
      </c>
      <c r="B27" s="150" t="s">
        <v>15</v>
      </c>
      <c r="C27" s="162">
        <v>14</v>
      </c>
      <c r="D27" s="101">
        <v>1</v>
      </c>
      <c r="E27" s="102">
        <v>2.5</v>
      </c>
      <c r="F27" s="74">
        <v>2.2999999999999998</v>
      </c>
      <c r="G27" s="75">
        <v>3</v>
      </c>
      <c r="H27" s="165"/>
      <c r="I27" s="159">
        <f>эффективность!E11</f>
        <v>0.5</v>
      </c>
      <c r="J27" s="177">
        <f>стабильность!G11</f>
        <v>0.7142857142857143</v>
      </c>
      <c r="K27" s="109"/>
    </row>
    <row r="28" spans="1:11" ht="15.75">
      <c r="A28" s="151"/>
      <c r="B28" s="151"/>
      <c r="C28" s="163"/>
      <c r="D28" s="81">
        <v>2</v>
      </c>
      <c r="E28" s="61">
        <v>4.5</v>
      </c>
      <c r="F28" s="5">
        <v>3.9</v>
      </c>
      <c r="G28" s="52">
        <v>4.0999999999999996</v>
      </c>
      <c r="H28" s="157"/>
      <c r="I28" s="160"/>
      <c r="J28" s="178"/>
      <c r="K28" s="109"/>
    </row>
    <row r="29" spans="1:11" ht="16.5" thickBot="1">
      <c r="A29" s="152"/>
      <c r="B29" s="152"/>
      <c r="C29" s="164"/>
      <c r="D29" s="66">
        <v>3</v>
      </c>
      <c r="E29" s="80">
        <v>2.2999999999999998</v>
      </c>
      <c r="F29" s="37">
        <v>2.2000000000000002</v>
      </c>
      <c r="G29" s="60">
        <v>2.1</v>
      </c>
      <c r="H29" s="158"/>
      <c r="I29" s="161"/>
      <c r="J29" s="179"/>
      <c r="K29" s="109"/>
    </row>
    <row r="30" spans="1:11" ht="15.75">
      <c r="A30" s="150">
        <v>10</v>
      </c>
      <c r="B30" s="150" t="s">
        <v>16</v>
      </c>
      <c r="C30" s="153">
        <v>13</v>
      </c>
      <c r="D30" s="67">
        <v>1</v>
      </c>
      <c r="E30" s="64">
        <v>2</v>
      </c>
      <c r="F30" s="39">
        <v>2</v>
      </c>
      <c r="G30" s="55">
        <v>1.3</v>
      </c>
      <c r="H30" s="156"/>
      <c r="I30" s="159">
        <f>эффективность!E12</f>
        <v>0.75</v>
      </c>
      <c r="J30" s="177">
        <f>стабильность!G12</f>
        <v>0.69230769230769229</v>
      </c>
      <c r="K30" s="109"/>
    </row>
    <row r="31" spans="1:11" ht="15.75">
      <c r="A31" s="151"/>
      <c r="B31" s="151"/>
      <c r="C31" s="154"/>
      <c r="D31" s="81">
        <v>2</v>
      </c>
      <c r="E31" s="61">
        <v>2.2999999999999998</v>
      </c>
      <c r="F31" s="5">
        <v>2</v>
      </c>
      <c r="G31" s="52">
        <v>2.5</v>
      </c>
      <c r="H31" s="157"/>
      <c r="I31" s="160"/>
      <c r="J31" s="178"/>
      <c r="K31" s="109"/>
    </row>
    <row r="32" spans="1:11" ht="16.5" thickBot="1">
      <c r="A32" s="152"/>
      <c r="B32" s="152"/>
      <c r="C32" s="155"/>
      <c r="D32" s="66">
        <v>3</v>
      </c>
      <c r="E32" s="65">
        <v>2</v>
      </c>
      <c r="F32" s="41">
        <v>1.6</v>
      </c>
      <c r="G32" s="56">
        <v>1.4</v>
      </c>
      <c r="H32" s="158"/>
      <c r="I32" s="161"/>
      <c r="J32" s="179"/>
      <c r="K32" s="109"/>
    </row>
    <row r="33" spans="1:15" ht="15.75">
      <c r="A33" s="36"/>
      <c r="B33" s="36"/>
      <c r="C33" s="36"/>
      <c r="D33" s="6"/>
      <c r="E33" s="6"/>
      <c r="F33" s="6"/>
      <c r="G33" s="6"/>
      <c r="H33" s="6"/>
      <c r="I33" s="6"/>
      <c r="J33" s="6"/>
    </row>
    <row r="34" spans="1:15" ht="15.75">
      <c r="A34" s="36"/>
      <c r="B34" s="36"/>
      <c r="C34" s="36"/>
      <c r="D34" s="6"/>
      <c r="E34" s="6"/>
      <c r="F34" s="6"/>
      <c r="G34" s="6"/>
      <c r="H34" s="6"/>
      <c r="I34" s="6"/>
      <c r="J34" s="6"/>
    </row>
    <row r="35" spans="1:15" ht="15.75">
      <c r="A35" s="36"/>
      <c r="B35" s="36"/>
      <c r="C35" s="36"/>
      <c r="D35" s="6"/>
      <c r="E35" s="6"/>
      <c r="F35" s="6"/>
      <c r="G35" s="6"/>
      <c r="H35" s="6"/>
      <c r="I35" s="6"/>
      <c r="J35" s="6"/>
    </row>
    <row r="36" spans="1:15" ht="15.75">
      <c r="A36" s="36"/>
      <c r="B36" s="36"/>
      <c r="C36" s="36"/>
      <c r="D36" s="6"/>
      <c r="E36" s="6"/>
      <c r="F36" s="6"/>
      <c r="G36" s="6"/>
      <c r="H36" s="6"/>
      <c r="I36" s="6"/>
      <c r="J36" s="6"/>
    </row>
    <row r="37" spans="1:15" ht="45" customHeight="1" thickBot="1">
      <c r="A37" s="176" t="s">
        <v>80</v>
      </c>
      <c r="B37" s="176"/>
      <c r="C37" s="176"/>
      <c r="D37" s="176"/>
      <c r="E37" s="176"/>
      <c r="F37" s="176"/>
      <c r="G37" s="176"/>
      <c r="H37" s="176"/>
      <c r="I37" s="176"/>
      <c r="J37" s="176"/>
      <c r="O37" s="9"/>
    </row>
    <row r="38" spans="1:15" ht="33" thickTop="1" thickBot="1">
      <c r="A38" s="82" t="s">
        <v>0</v>
      </c>
      <c r="B38" s="83" t="s">
        <v>1</v>
      </c>
      <c r="C38" s="83" t="s">
        <v>2</v>
      </c>
      <c r="D38" s="83" t="s">
        <v>17</v>
      </c>
      <c r="E38" s="170" t="s">
        <v>3</v>
      </c>
      <c r="F38" s="171"/>
      <c r="G38" s="172"/>
      <c r="H38" s="82" t="s">
        <v>4</v>
      </c>
      <c r="I38" s="84" t="s">
        <v>5</v>
      </c>
      <c r="J38" s="82" t="s">
        <v>6</v>
      </c>
      <c r="M38" s="146"/>
    </row>
    <row r="39" spans="1:15" ht="15.75">
      <c r="A39" s="150">
        <v>1</v>
      </c>
      <c r="B39" s="150" t="s">
        <v>81</v>
      </c>
      <c r="C39" s="150">
        <v>13</v>
      </c>
      <c r="D39" s="106">
        <v>1</v>
      </c>
      <c r="E39" s="137">
        <v>1.9</v>
      </c>
      <c r="F39" s="47">
        <v>2.2999999999999998</v>
      </c>
      <c r="G39" s="47">
        <v>1.5</v>
      </c>
      <c r="H39" s="150"/>
      <c r="I39" s="173"/>
      <c r="J39" s="147"/>
      <c r="M39" s="146"/>
    </row>
    <row r="40" spans="1:15" ht="15.75">
      <c r="A40" s="151"/>
      <c r="B40" s="151"/>
      <c r="C40" s="151"/>
      <c r="D40" s="89">
        <v>2</v>
      </c>
      <c r="E40" s="47">
        <v>3</v>
      </c>
      <c r="F40" s="47">
        <v>3.3</v>
      </c>
      <c r="G40" s="47">
        <v>3.6</v>
      </c>
      <c r="H40" s="151"/>
      <c r="I40" s="174"/>
      <c r="J40" s="148"/>
      <c r="M40" s="146"/>
    </row>
    <row r="41" spans="1:15" ht="16.5" thickBot="1">
      <c r="A41" s="152"/>
      <c r="B41" s="152"/>
      <c r="C41" s="152"/>
      <c r="D41" s="86">
        <v>3</v>
      </c>
      <c r="E41" s="47">
        <v>2.5</v>
      </c>
      <c r="F41" s="47">
        <v>3.5</v>
      </c>
      <c r="G41" s="47">
        <v>2.2000000000000002</v>
      </c>
      <c r="H41" s="152"/>
      <c r="I41" s="175"/>
      <c r="J41" s="149"/>
      <c r="M41" s="146"/>
    </row>
    <row r="42" spans="1:15" ht="15.75">
      <c r="A42" s="150">
        <v>2</v>
      </c>
      <c r="B42" s="150" t="s">
        <v>82</v>
      </c>
      <c r="C42" s="153">
        <v>15</v>
      </c>
      <c r="D42" s="67">
        <v>1</v>
      </c>
      <c r="E42" s="47">
        <v>2</v>
      </c>
      <c r="F42" s="47">
        <v>1.8</v>
      </c>
      <c r="G42" s="47">
        <v>1.5</v>
      </c>
      <c r="H42" s="156"/>
      <c r="I42" s="159"/>
      <c r="J42" s="147"/>
      <c r="M42" s="146"/>
    </row>
    <row r="43" spans="1:15" ht="15.75">
      <c r="A43" s="151"/>
      <c r="B43" s="151"/>
      <c r="C43" s="154"/>
      <c r="D43" s="81">
        <v>2</v>
      </c>
      <c r="E43" s="47">
        <v>3.5</v>
      </c>
      <c r="F43" s="47">
        <v>4</v>
      </c>
      <c r="G43" s="47">
        <v>3</v>
      </c>
      <c r="H43" s="157"/>
      <c r="I43" s="160"/>
      <c r="J43" s="148"/>
      <c r="M43" s="146"/>
    </row>
    <row r="44" spans="1:15" ht="16.5" thickBot="1">
      <c r="A44" s="152"/>
      <c r="B44" s="152"/>
      <c r="C44" s="154"/>
      <c r="D44" s="93">
        <v>3</v>
      </c>
      <c r="E44" s="47">
        <v>3.3</v>
      </c>
      <c r="F44" s="47">
        <v>2.9</v>
      </c>
      <c r="G44" s="47">
        <v>3.5</v>
      </c>
      <c r="H44" s="158"/>
      <c r="I44" s="161"/>
      <c r="J44" s="149"/>
      <c r="M44" s="146"/>
    </row>
    <row r="45" spans="1:15" ht="15.75">
      <c r="A45" s="150">
        <v>3</v>
      </c>
      <c r="B45" s="150" t="s">
        <v>83</v>
      </c>
      <c r="C45" s="150">
        <v>13</v>
      </c>
      <c r="D45" s="67">
        <v>1</v>
      </c>
      <c r="E45" s="47">
        <v>3.1</v>
      </c>
      <c r="F45" s="47">
        <v>2.2999999999999998</v>
      </c>
      <c r="G45" s="138">
        <v>3.3</v>
      </c>
      <c r="H45" s="165"/>
      <c r="I45" s="159"/>
      <c r="J45" s="147"/>
      <c r="M45" s="146"/>
    </row>
    <row r="46" spans="1:15" ht="15.75">
      <c r="A46" s="151"/>
      <c r="B46" s="151"/>
      <c r="C46" s="151"/>
      <c r="D46" s="89">
        <v>2</v>
      </c>
      <c r="E46" s="114">
        <v>3.5</v>
      </c>
      <c r="F46" s="47">
        <v>4</v>
      </c>
      <c r="G46" s="117">
        <v>4.0999999999999996</v>
      </c>
      <c r="H46" s="157"/>
      <c r="I46" s="160"/>
      <c r="J46" s="148"/>
      <c r="M46" s="146"/>
    </row>
    <row r="47" spans="1:15" ht="16.5" thickBot="1">
      <c r="A47" s="152"/>
      <c r="B47" s="152"/>
      <c r="C47" s="152"/>
      <c r="D47" s="66">
        <v>3</v>
      </c>
      <c r="E47" s="47">
        <v>3.6</v>
      </c>
      <c r="F47" s="47">
        <v>3.4</v>
      </c>
      <c r="G47" s="47">
        <v>2.8</v>
      </c>
      <c r="H47" s="158"/>
      <c r="I47" s="161"/>
      <c r="J47" s="149"/>
      <c r="M47" s="146"/>
    </row>
    <row r="48" spans="1:15" ht="15.75">
      <c r="A48" s="150">
        <v>4</v>
      </c>
      <c r="B48" s="166" t="s">
        <v>84</v>
      </c>
      <c r="C48" s="150">
        <v>14</v>
      </c>
      <c r="D48" s="79">
        <v>1</v>
      </c>
      <c r="E48" s="47">
        <v>1.6</v>
      </c>
      <c r="F48" s="47">
        <v>2</v>
      </c>
      <c r="G48" s="47">
        <v>1.9</v>
      </c>
      <c r="H48" s="165"/>
      <c r="I48" s="159"/>
      <c r="J48" s="147"/>
    </row>
    <row r="49" spans="1:10" ht="15.75">
      <c r="A49" s="151"/>
      <c r="B49" s="167"/>
      <c r="C49" s="151"/>
      <c r="D49" s="4">
        <v>2</v>
      </c>
      <c r="E49" s="118">
        <v>5</v>
      </c>
      <c r="F49" s="47">
        <v>3.9</v>
      </c>
      <c r="G49" s="115">
        <v>4.5</v>
      </c>
      <c r="H49" s="157"/>
      <c r="I49" s="160"/>
      <c r="J49" s="148"/>
    </row>
    <row r="50" spans="1:10" ht="16.5" thickBot="1">
      <c r="A50" s="152"/>
      <c r="B50" s="168"/>
      <c r="C50" s="152"/>
      <c r="D50" s="78">
        <v>3</v>
      </c>
      <c r="E50" s="47">
        <v>2.6</v>
      </c>
      <c r="F50" s="47">
        <v>2.1</v>
      </c>
      <c r="G50" s="47">
        <v>3.5</v>
      </c>
      <c r="H50" s="158"/>
      <c r="I50" s="161"/>
      <c r="J50" s="149"/>
    </row>
    <row r="51" spans="1:10" ht="15.75">
      <c r="A51" s="150">
        <v>5</v>
      </c>
      <c r="B51" s="150" t="s">
        <v>85</v>
      </c>
      <c r="C51" s="150">
        <v>14</v>
      </c>
      <c r="D51" s="76">
        <v>1</v>
      </c>
      <c r="E51" s="47">
        <v>2.2000000000000002</v>
      </c>
      <c r="F51" s="47">
        <v>2.9</v>
      </c>
      <c r="G51" s="47">
        <v>2.1</v>
      </c>
      <c r="H51" s="156"/>
      <c r="I51" s="159"/>
      <c r="J51" s="147"/>
    </row>
    <row r="52" spans="1:10" ht="15.75">
      <c r="A52" s="151"/>
      <c r="B52" s="151"/>
      <c r="C52" s="151"/>
      <c r="D52" s="4">
        <v>2</v>
      </c>
      <c r="E52" s="118">
        <v>4</v>
      </c>
      <c r="F52" s="47">
        <v>3.9</v>
      </c>
      <c r="G52" s="115">
        <v>3.6</v>
      </c>
      <c r="H52" s="157"/>
      <c r="I52" s="160"/>
      <c r="J52" s="148"/>
    </row>
    <row r="53" spans="1:10" ht="16.5" thickBot="1">
      <c r="A53" s="152"/>
      <c r="B53" s="152"/>
      <c r="C53" s="152"/>
      <c r="D53" s="77">
        <v>3</v>
      </c>
      <c r="E53" s="47">
        <v>2.2999999999999998</v>
      </c>
      <c r="F53" s="47">
        <v>2.5</v>
      </c>
      <c r="G53" s="47">
        <v>2.9</v>
      </c>
      <c r="H53" s="158"/>
      <c r="I53" s="161"/>
      <c r="J53" s="149"/>
    </row>
    <row r="54" spans="1:10" ht="15.75">
      <c r="A54" s="150">
        <v>6</v>
      </c>
      <c r="B54" s="150" t="s">
        <v>86</v>
      </c>
      <c r="C54" s="163">
        <v>13</v>
      </c>
      <c r="D54" s="104">
        <v>1</v>
      </c>
      <c r="E54" s="47">
        <v>2.5</v>
      </c>
      <c r="F54" s="47">
        <v>3.2</v>
      </c>
      <c r="G54" s="47">
        <v>3.3</v>
      </c>
      <c r="H54" s="165"/>
      <c r="I54" s="159"/>
      <c r="J54" s="147"/>
    </row>
    <row r="55" spans="1:10" ht="15.75">
      <c r="A55" s="151"/>
      <c r="B55" s="151"/>
      <c r="C55" s="163"/>
      <c r="D55" s="81">
        <v>2</v>
      </c>
      <c r="E55" s="116">
        <v>4.0999999999999996</v>
      </c>
      <c r="F55" s="47">
        <v>3.3</v>
      </c>
      <c r="G55" s="115">
        <v>3.5</v>
      </c>
      <c r="H55" s="157"/>
      <c r="I55" s="160"/>
      <c r="J55" s="148"/>
    </row>
    <row r="56" spans="1:10" ht="16.5" thickBot="1">
      <c r="A56" s="152"/>
      <c r="B56" s="152"/>
      <c r="C56" s="164"/>
      <c r="D56" s="66">
        <v>3</v>
      </c>
      <c r="E56" s="47">
        <v>3.6</v>
      </c>
      <c r="F56" s="47">
        <v>3.5</v>
      </c>
      <c r="G56" s="47">
        <v>3.4</v>
      </c>
      <c r="H56" s="158"/>
      <c r="I56" s="161"/>
      <c r="J56" s="149"/>
    </row>
    <row r="57" spans="1:10" ht="15.75">
      <c r="A57" s="150">
        <v>7</v>
      </c>
      <c r="B57" s="150" t="s">
        <v>87</v>
      </c>
      <c r="C57" s="163">
        <v>14</v>
      </c>
      <c r="D57" s="103">
        <v>1</v>
      </c>
      <c r="E57" s="47">
        <v>3.5</v>
      </c>
      <c r="F57" s="47">
        <v>2.5</v>
      </c>
      <c r="G57" s="47">
        <v>3</v>
      </c>
      <c r="H57" s="165"/>
      <c r="I57" s="159"/>
      <c r="J57" s="147"/>
    </row>
    <row r="58" spans="1:10" ht="15.75">
      <c r="A58" s="151"/>
      <c r="B58" s="151"/>
      <c r="C58" s="163"/>
      <c r="D58" s="81">
        <v>2</v>
      </c>
      <c r="E58" s="116">
        <v>2.2999999999999998</v>
      </c>
      <c r="F58" s="47">
        <v>2.4</v>
      </c>
      <c r="G58" s="115">
        <v>2.8</v>
      </c>
      <c r="H58" s="157"/>
      <c r="I58" s="160"/>
      <c r="J58" s="148"/>
    </row>
    <row r="59" spans="1:10" ht="16.5" thickBot="1">
      <c r="A59" s="152"/>
      <c r="B59" s="152"/>
      <c r="C59" s="164"/>
      <c r="D59" s="66">
        <v>3</v>
      </c>
      <c r="E59" s="47">
        <v>3</v>
      </c>
      <c r="F59" s="47">
        <v>1.9</v>
      </c>
      <c r="G59" s="47">
        <v>2.2000000000000002</v>
      </c>
      <c r="H59" s="158"/>
      <c r="I59" s="161"/>
      <c r="J59" s="149"/>
    </row>
    <row r="60" spans="1:10" ht="15.75">
      <c r="A60" s="150">
        <v>8</v>
      </c>
      <c r="B60" s="150" t="s">
        <v>88</v>
      </c>
      <c r="C60" s="163">
        <v>13</v>
      </c>
      <c r="D60" s="103">
        <v>1</v>
      </c>
      <c r="E60" s="47">
        <v>2.1</v>
      </c>
      <c r="F60" s="47">
        <v>1.9</v>
      </c>
      <c r="G60" s="47">
        <v>2.5</v>
      </c>
      <c r="H60" s="165"/>
      <c r="I60" s="159"/>
      <c r="J60" s="147"/>
    </row>
    <row r="61" spans="1:10" ht="15.75">
      <c r="A61" s="151"/>
      <c r="B61" s="151"/>
      <c r="C61" s="163"/>
      <c r="D61" s="81">
        <v>2</v>
      </c>
      <c r="E61" s="116">
        <v>4</v>
      </c>
      <c r="F61" s="47">
        <v>3.9</v>
      </c>
      <c r="G61" s="115">
        <v>3.7</v>
      </c>
      <c r="H61" s="157"/>
      <c r="I61" s="160"/>
      <c r="J61" s="148"/>
    </row>
    <row r="62" spans="1:10" ht="16.5" thickBot="1">
      <c r="A62" s="152"/>
      <c r="B62" s="152"/>
      <c r="C62" s="163"/>
      <c r="D62" s="66">
        <v>3</v>
      </c>
      <c r="E62" s="47">
        <v>2.2000000000000002</v>
      </c>
      <c r="F62" s="47">
        <v>2.5</v>
      </c>
      <c r="G62" s="47">
        <v>2.8</v>
      </c>
      <c r="H62" s="158"/>
      <c r="I62" s="161"/>
      <c r="J62" s="149"/>
    </row>
    <row r="63" spans="1:10" ht="15.75">
      <c r="A63" s="150">
        <v>9</v>
      </c>
      <c r="B63" s="150" t="s">
        <v>89</v>
      </c>
      <c r="C63" s="162">
        <v>14</v>
      </c>
      <c r="D63" s="101">
        <v>1</v>
      </c>
      <c r="E63" s="47">
        <v>3.3</v>
      </c>
      <c r="F63" s="47">
        <v>3.5</v>
      </c>
      <c r="G63" s="47">
        <v>3</v>
      </c>
      <c r="H63" s="165"/>
      <c r="I63" s="159"/>
      <c r="J63" s="147"/>
    </row>
    <row r="64" spans="1:10" ht="15.75">
      <c r="A64" s="151"/>
      <c r="B64" s="151"/>
      <c r="C64" s="163"/>
      <c r="D64" s="81">
        <v>2</v>
      </c>
      <c r="E64" s="116">
        <v>3.2</v>
      </c>
      <c r="F64" s="47">
        <v>2.8</v>
      </c>
      <c r="G64" s="115">
        <v>3.5</v>
      </c>
      <c r="H64" s="157"/>
      <c r="I64" s="160"/>
      <c r="J64" s="148"/>
    </row>
    <row r="65" spans="1:10" ht="16.5" thickBot="1">
      <c r="A65" s="152"/>
      <c r="B65" s="152"/>
      <c r="C65" s="164"/>
      <c r="D65" s="66">
        <v>3</v>
      </c>
      <c r="E65" s="47">
        <v>2.7</v>
      </c>
      <c r="F65" s="47">
        <v>3.1</v>
      </c>
      <c r="G65" s="47">
        <v>3.5</v>
      </c>
      <c r="H65" s="158"/>
      <c r="I65" s="161"/>
      <c r="J65" s="149"/>
    </row>
    <row r="66" spans="1:10" ht="15.75">
      <c r="A66" s="150">
        <v>10</v>
      </c>
      <c r="B66" s="150" t="s">
        <v>90</v>
      </c>
      <c r="C66" s="153">
        <v>15</v>
      </c>
      <c r="D66" s="67">
        <v>1</v>
      </c>
      <c r="E66" s="47">
        <v>2.5</v>
      </c>
      <c r="F66" s="47">
        <v>2</v>
      </c>
      <c r="G66" s="47">
        <v>1.9</v>
      </c>
      <c r="H66" s="156"/>
      <c r="I66" s="159"/>
      <c r="J66" s="147"/>
    </row>
    <row r="67" spans="1:10" ht="15.75">
      <c r="A67" s="151"/>
      <c r="B67" s="151"/>
      <c r="C67" s="154"/>
      <c r="D67" s="81">
        <v>2</v>
      </c>
      <c r="E67" s="116">
        <v>2.5</v>
      </c>
      <c r="F67" s="47">
        <v>2.2999999999999998</v>
      </c>
      <c r="G67" s="115">
        <v>2.4</v>
      </c>
      <c r="H67" s="157"/>
      <c r="I67" s="160"/>
      <c r="J67" s="148"/>
    </row>
    <row r="68" spans="1:10" ht="16.5" thickBot="1">
      <c r="A68" s="152"/>
      <c r="B68" s="152"/>
      <c r="C68" s="155"/>
      <c r="D68" s="66">
        <v>3</v>
      </c>
      <c r="E68" s="47">
        <v>2.2000000000000002</v>
      </c>
      <c r="F68" s="47">
        <v>3.5</v>
      </c>
      <c r="G68" s="47">
        <v>1.4</v>
      </c>
      <c r="H68" s="158"/>
      <c r="I68" s="161"/>
      <c r="J68" s="149"/>
    </row>
  </sheetData>
  <mergeCells count="124">
    <mergeCell ref="J30:J32"/>
    <mergeCell ref="J3:J5"/>
    <mergeCell ref="J6:J8"/>
    <mergeCell ref="J9:J11"/>
    <mergeCell ref="J12:J14"/>
    <mergeCell ref="J15:J17"/>
    <mergeCell ref="J18:J20"/>
    <mergeCell ref="J21:J23"/>
    <mergeCell ref="J24:J26"/>
    <mergeCell ref="J27:J29"/>
    <mergeCell ref="H12:H14"/>
    <mergeCell ref="H15:H17"/>
    <mergeCell ref="H18:H20"/>
    <mergeCell ref="H21:H23"/>
    <mergeCell ref="H24:H26"/>
    <mergeCell ref="H27:H29"/>
    <mergeCell ref="H30:H32"/>
    <mergeCell ref="I3:I5"/>
    <mergeCell ref="I6:I8"/>
    <mergeCell ref="I9:I11"/>
    <mergeCell ref="I12:I14"/>
    <mergeCell ref="I15:I17"/>
    <mergeCell ref="I18:I20"/>
    <mergeCell ref="I21:I23"/>
    <mergeCell ref="I24:I26"/>
    <mergeCell ref="I27:I29"/>
    <mergeCell ref="I30:I32"/>
    <mergeCell ref="A3:A5"/>
    <mergeCell ref="B3:B5"/>
    <mergeCell ref="C3:C5"/>
    <mergeCell ref="A6:A8"/>
    <mergeCell ref="B6:B8"/>
    <mergeCell ref="C6:C8"/>
    <mergeCell ref="H3:H5"/>
    <mergeCell ref="H6:H8"/>
    <mergeCell ref="H9:H11"/>
    <mergeCell ref="C15:C17"/>
    <mergeCell ref="A18:A20"/>
    <mergeCell ref="B18:B20"/>
    <mergeCell ref="C18:C20"/>
    <mergeCell ref="A9:A11"/>
    <mergeCell ref="B9:B11"/>
    <mergeCell ref="C9:C11"/>
    <mergeCell ref="A12:A14"/>
    <mergeCell ref="B12:B14"/>
    <mergeCell ref="C12:C14"/>
    <mergeCell ref="A1:J1"/>
    <mergeCell ref="E38:G38"/>
    <mergeCell ref="A39:A41"/>
    <mergeCell ref="B39:B41"/>
    <mergeCell ref="C39:C41"/>
    <mergeCell ref="H39:H41"/>
    <mergeCell ref="I39:I41"/>
    <mergeCell ref="J39:J41"/>
    <mergeCell ref="E2:G2"/>
    <mergeCell ref="A27:A29"/>
    <mergeCell ref="B27:B29"/>
    <mergeCell ref="C27:C29"/>
    <mergeCell ref="A37:J37"/>
    <mergeCell ref="A30:A32"/>
    <mergeCell ref="B30:B32"/>
    <mergeCell ref="C30:C32"/>
    <mergeCell ref="A21:A23"/>
    <mergeCell ref="B21:B23"/>
    <mergeCell ref="C21:C23"/>
    <mergeCell ref="A24:A26"/>
    <mergeCell ref="B24:B26"/>
    <mergeCell ref="C24:C26"/>
    <mergeCell ref="A15:A17"/>
    <mergeCell ref="B15:B17"/>
    <mergeCell ref="J42:J44"/>
    <mergeCell ref="A45:A47"/>
    <mergeCell ref="B45:B47"/>
    <mergeCell ref="C45:C47"/>
    <mergeCell ref="H45:H47"/>
    <mergeCell ref="I45:I47"/>
    <mergeCell ref="J45:J47"/>
    <mergeCell ref="A42:A44"/>
    <mergeCell ref="B42:B44"/>
    <mergeCell ref="C42:C44"/>
    <mergeCell ref="H42:H44"/>
    <mergeCell ref="I42:I44"/>
    <mergeCell ref="J48:J50"/>
    <mergeCell ref="A51:A53"/>
    <mergeCell ref="B51:B53"/>
    <mergeCell ref="C51:C53"/>
    <mergeCell ref="H51:H53"/>
    <mergeCell ref="I51:I53"/>
    <mergeCell ref="J51:J53"/>
    <mergeCell ref="A48:A50"/>
    <mergeCell ref="B48:B50"/>
    <mergeCell ref="C48:C50"/>
    <mergeCell ref="H48:H50"/>
    <mergeCell ref="I48:I50"/>
    <mergeCell ref="J54:J56"/>
    <mergeCell ref="A57:A59"/>
    <mergeCell ref="B57:B59"/>
    <mergeCell ref="C57:C59"/>
    <mergeCell ref="H57:H59"/>
    <mergeCell ref="I57:I59"/>
    <mergeCell ref="J57:J59"/>
    <mergeCell ref="A54:A56"/>
    <mergeCell ref="B54:B56"/>
    <mergeCell ref="C54:C56"/>
    <mergeCell ref="H54:H56"/>
    <mergeCell ref="I54:I56"/>
    <mergeCell ref="J66:J68"/>
    <mergeCell ref="A66:A68"/>
    <mergeCell ref="B66:B68"/>
    <mergeCell ref="C66:C68"/>
    <mergeCell ref="H66:H68"/>
    <mergeCell ref="I66:I68"/>
    <mergeCell ref="J60:J62"/>
    <mergeCell ref="A63:A65"/>
    <mergeCell ref="B63:B65"/>
    <mergeCell ref="C63:C65"/>
    <mergeCell ref="H63:H65"/>
    <mergeCell ref="I63:I65"/>
    <mergeCell ref="J63:J65"/>
    <mergeCell ref="A60:A62"/>
    <mergeCell ref="B60:B62"/>
    <mergeCell ref="C60:C62"/>
    <mergeCell ref="H60:H62"/>
    <mergeCell ref="I60:I6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9"/>
  <sheetViews>
    <sheetView tabSelected="1" topLeftCell="A7" workbookViewId="0">
      <selection activeCell="E15" sqref="E15"/>
    </sheetView>
  </sheetViews>
  <sheetFormatPr defaultColWidth="8.7109375" defaultRowHeight="15"/>
  <cols>
    <col min="1" max="1" width="6.140625" style="34" customWidth="1"/>
    <col min="2" max="2" width="18.140625" style="34" customWidth="1"/>
    <col min="3" max="3" width="18.85546875" style="34" customWidth="1"/>
    <col min="4" max="4" width="16.140625" style="34" customWidth="1"/>
    <col min="5" max="5" width="15.42578125" style="34" customWidth="1"/>
    <col min="6" max="6" width="11.42578125" style="34" customWidth="1"/>
    <col min="7" max="7" width="14.85546875" style="34" customWidth="1"/>
    <col min="8" max="8" width="19.28515625" style="34" customWidth="1"/>
    <col min="9" max="9" width="12.5703125" style="34" customWidth="1"/>
    <col min="10" max="10" width="20.28515625" style="34" customWidth="1"/>
    <col min="11" max="11" width="18" style="34" customWidth="1"/>
    <col min="12" max="13" width="16.42578125" style="34" customWidth="1"/>
    <col min="14" max="16384" width="8.7109375" style="34"/>
  </cols>
  <sheetData>
    <row r="1" spans="1:1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180"/>
    </row>
    <row r="2" spans="1:13" ht="78.75" customHeight="1">
      <c r="A2" s="17" t="s">
        <v>41</v>
      </c>
      <c r="B2" s="17" t="s">
        <v>1</v>
      </c>
      <c r="C2" s="17" t="s">
        <v>42</v>
      </c>
      <c r="D2" s="17" t="s">
        <v>73</v>
      </c>
      <c r="E2" s="17" t="s">
        <v>72</v>
      </c>
      <c r="F2" s="22" t="s">
        <v>61</v>
      </c>
      <c r="G2" s="22" t="s">
        <v>91</v>
      </c>
      <c r="H2" s="22" t="s">
        <v>92</v>
      </c>
      <c r="I2" s="7" t="s">
        <v>60</v>
      </c>
      <c r="J2" s="7" t="s">
        <v>62</v>
      </c>
      <c r="K2" s="49" t="s">
        <v>93</v>
      </c>
      <c r="L2" s="49" t="s">
        <v>75</v>
      </c>
      <c r="M2" s="49" t="s">
        <v>74</v>
      </c>
    </row>
    <row r="3" spans="1:13" ht="15" customHeight="1">
      <c r="A3" s="17">
        <v>1</v>
      </c>
      <c r="B3" s="42" t="s">
        <v>7</v>
      </c>
      <c r="C3" s="18" t="s">
        <v>43</v>
      </c>
      <c r="D3" s="18">
        <v>1.25</v>
      </c>
      <c r="E3" s="18">
        <v>1.45</v>
      </c>
      <c r="F3" s="17">
        <v>2.5</v>
      </c>
      <c r="G3" s="50">
        <f>AVERAGE(D3:F3)</f>
        <v>1.7333333333333334</v>
      </c>
      <c r="H3" s="35">
        <f>MIN(D3:F3)</f>
        <v>1.25</v>
      </c>
      <c r="I3" s="43">
        <v>5</v>
      </c>
      <c r="J3" s="44">
        <f>I3/H3</f>
        <v>4</v>
      </c>
      <c r="K3" s="24">
        <f>AVERAGE(H3:H12)</f>
        <v>1.9650000000000003</v>
      </c>
      <c r="L3" s="23">
        <f>AVERAGE(I3:I12)</f>
        <v>3.6</v>
      </c>
      <c r="M3" s="142">
        <f>AVERAGE(J3:J12)</f>
        <v>2.1355666079201412</v>
      </c>
    </row>
    <row r="4" spans="1:13" ht="14.45" customHeight="1">
      <c r="A4" s="17">
        <v>2</v>
      </c>
      <c r="B4" s="42" t="s">
        <v>8</v>
      </c>
      <c r="C4" s="18" t="s">
        <v>43</v>
      </c>
      <c r="D4" s="45">
        <v>1.45</v>
      </c>
      <c r="E4" s="18">
        <v>1.5</v>
      </c>
      <c r="F4" s="17">
        <v>2.1</v>
      </c>
      <c r="G4" s="50">
        <f t="shared" ref="G4:G12" si="0">AVERAGE(D4:F4)</f>
        <v>1.6833333333333336</v>
      </c>
      <c r="H4" s="35">
        <f t="shared" ref="H4:H12" si="1">MIN(D4:F4)</f>
        <v>1.45</v>
      </c>
      <c r="I4" s="43">
        <v>5</v>
      </c>
      <c r="J4" s="44">
        <f t="shared" ref="J4:J12" si="2">I4/H4</f>
        <v>3.4482758620689657</v>
      </c>
    </row>
    <row r="5" spans="1:13" ht="15" customHeight="1">
      <c r="A5" s="17">
        <v>3</v>
      </c>
      <c r="B5" s="42" t="s">
        <v>9</v>
      </c>
      <c r="C5" s="18" t="s">
        <v>43</v>
      </c>
      <c r="D5" s="18">
        <v>1.8</v>
      </c>
      <c r="E5" s="18">
        <v>1.9</v>
      </c>
      <c r="F5" s="17">
        <v>2.9</v>
      </c>
      <c r="G5" s="50">
        <f t="shared" si="0"/>
        <v>2.1999999999999997</v>
      </c>
      <c r="H5" s="35">
        <f t="shared" si="1"/>
        <v>1.8</v>
      </c>
      <c r="I5" s="43">
        <v>3</v>
      </c>
      <c r="J5" s="44">
        <f t="shared" si="2"/>
        <v>1.6666666666666665</v>
      </c>
    </row>
    <row r="6" spans="1:13" ht="14.45" customHeight="1">
      <c r="A6" s="17">
        <v>4</v>
      </c>
      <c r="B6" s="42" t="s">
        <v>10</v>
      </c>
      <c r="C6" s="18" t="s">
        <v>43</v>
      </c>
      <c r="D6" s="18">
        <v>4.3</v>
      </c>
      <c r="E6" s="18">
        <v>3.2</v>
      </c>
      <c r="F6" s="22"/>
      <c r="G6" s="50">
        <f>AVERAGE(D6:F6)</f>
        <v>3.75</v>
      </c>
      <c r="H6" s="35">
        <f t="shared" si="1"/>
        <v>3.2</v>
      </c>
      <c r="I6" s="43">
        <v>2</v>
      </c>
      <c r="J6" s="44">
        <f>I6/H6</f>
        <v>0.625</v>
      </c>
    </row>
    <row r="7" spans="1:13" ht="14.45" customHeight="1">
      <c r="A7" s="17">
        <v>5</v>
      </c>
      <c r="B7" s="42" t="s">
        <v>11</v>
      </c>
      <c r="C7" s="18" t="s">
        <v>43</v>
      </c>
      <c r="D7" s="18">
        <v>1.7</v>
      </c>
      <c r="E7" s="18">
        <v>2.2999999999999998</v>
      </c>
      <c r="F7" s="22">
        <v>2.1</v>
      </c>
      <c r="G7" s="50">
        <f t="shared" si="0"/>
        <v>2.0333333333333332</v>
      </c>
      <c r="H7" s="35">
        <f t="shared" si="1"/>
        <v>1.7</v>
      </c>
      <c r="I7" s="43">
        <v>4</v>
      </c>
      <c r="J7" s="44">
        <f t="shared" si="2"/>
        <v>2.3529411764705883</v>
      </c>
      <c r="M7" s="111"/>
    </row>
    <row r="8" spans="1:13" ht="14.45" customHeight="1">
      <c r="A8" s="17">
        <v>6</v>
      </c>
      <c r="B8" s="42" t="s">
        <v>44</v>
      </c>
      <c r="C8" s="18" t="s">
        <v>43</v>
      </c>
      <c r="D8" s="18">
        <v>2.25</v>
      </c>
      <c r="E8" s="18">
        <v>3</v>
      </c>
      <c r="F8" s="17"/>
      <c r="G8" s="50">
        <f t="shared" si="0"/>
        <v>2.625</v>
      </c>
      <c r="H8" s="35">
        <f t="shared" si="1"/>
        <v>2.25</v>
      </c>
      <c r="I8" s="43">
        <v>3</v>
      </c>
      <c r="J8" s="44">
        <f t="shared" si="2"/>
        <v>1.3333333333333333</v>
      </c>
    </row>
    <row r="9" spans="1:13" ht="14.45" customHeight="1">
      <c r="A9" s="17">
        <v>7</v>
      </c>
      <c r="B9" s="42" t="s">
        <v>13</v>
      </c>
      <c r="C9" s="18" t="s">
        <v>43</v>
      </c>
      <c r="D9" s="18">
        <v>1.9</v>
      </c>
      <c r="E9" s="17">
        <v>2</v>
      </c>
      <c r="F9" s="22">
        <v>2</v>
      </c>
      <c r="G9" s="50">
        <f t="shared" si="0"/>
        <v>1.9666666666666668</v>
      </c>
      <c r="H9" s="35">
        <f t="shared" si="1"/>
        <v>1.9</v>
      </c>
      <c r="I9" s="43">
        <v>3</v>
      </c>
      <c r="J9" s="44">
        <f t="shared" si="2"/>
        <v>1.5789473684210527</v>
      </c>
    </row>
    <row r="10" spans="1:13" ht="14.45" customHeight="1">
      <c r="A10" s="17">
        <v>8</v>
      </c>
      <c r="B10" s="42" t="s">
        <v>14</v>
      </c>
      <c r="C10" s="18" t="s">
        <v>43</v>
      </c>
      <c r="D10" s="18">
        <v>2.8</v>
      </c>
      <c r="E10" s="18">
        <v>2.5</v>
      </c>
      <c r="F10" s="22">
        <v>2.6</v>
      </c>
      <c r="G10" s="50">
        <f t="shared" si="0"/>
        <v>2.6333333333333333</v>
      </c>
      <c r="H10" s="35">
        <f t="shared" si="1"/>
        <v>2.5</v>
      </c>
      <c r="I10" s="43">
        <v>3</v>
      </c>
      <c r="J10" s="44">
        <f t="shared" si="2"/>
        <v>1.2</v>
      </c>
    </row>
    <row r="11" spans="1:13" ht="14.45" customHeight="1">
      <c r="A11" s="17">
        <v>9</v>
      </c>
      <c r="B11" s="42" t="s">
        <v>15</v>
      </c>
      <c r="C11" s="18" t="s">
        <v>43</v>
      </c>
      <c r="D11" s="18">
        <v>2.5</v>
      </c>
      <c r="E11" s="18">
        <v>2.2999999999999998</v>
      </c>
      <c r="F11" s="22">
        <v>3</v>
      </c>
      <c r="G11" s="50">
        <f t="shared" si="0"/>
        <v>2.6</v>
      </c>
      <c r="H11" s="35">
        <f t="shared" si="1"/>
        <v>2.2999999999999998</v>
      </c>
      <c r="I11" s="43">
        <v>3</v>
      </c>
      <c r="J11" s="44">
        <f t="shared" si="2"/>
        <v>1.3043478260869565</v>
      </c>
    </row>
    <row r="12" spans="1:13" ht="14.45" customHeight="1">
      <c r="A12" s="17">
        <v>10</v>
      </c>
      <c r="B12" s="42" t="s">
        <v>16</v>
      </c>
      <c r="C12" s="18" t="s">
        <v>43</v>
      </c>
      <c r="D12" s="18">
        <v>2</v>
      </c>
      <c r="E12" s="18">
        <v>1.3</v>
      </c>
      <c r="F12" s="22">
        <v>2</v>
      </c>
      <c r="G12" s="50">
        <f t="shared" si="0"/>
        <v>1.7666666666666666</v>
      </c>
      <c r="H12" s="35">
        <f t="shared" si="1"/>
        <v>1.3</v>
      </c>
      <c r="I12" s="43">
        <v>5</v>
      </c>
      <c r="J12" s="44">
        <f t="shared" si="2"/>
        <v>3.8461538461538458</v>
      </c>
    </row>
    <row r="13" spans="1:13" ht="14.45" customHeight="1">
      <c r="A13" s="14"/>
      <c r="B13" s="14"/>
      <c r="C13" s="14"/>
      <c r="D13" s="14"/>
      <c r="E13" s="14"/>
    </row>
    <row r="14" spans="1:13" ht="14.45" customHeight="1">
      <c r="A14" s="14"/>
      <c r="B14" s="14"/>
      <c r="C14" s="14"/>
      <c r="D14" s="14"/>
      <c r="E14" s="14"/>
    </row>
    <row r="18" spans="1:13">
      <c r="A18" s="180" t="s">
        <v>80</v>
      </c>
      <c r="B18" s="180"/>
      <c r="C18" s="180"/>
      <c r="D18" s="180"/>
      <c r="E18" s="180"/>
      <c r="F18" s="180"/>
      <c r="G18" s="180"/>
      <c r="H18" s="180"/>
      <c r="I18" s="180"/>
      <c r="J18" s="180"/>
    </row>
    <row r="19" spans="1:13" ht="78.75">
      <c r="A19" s="17" t="s">
        <v>41</v>
      </c>
      <c r="B19" s="17" t="s">
        <v>1</v>
      </c>
      <c r="C19" s="17" t="s">
        <v>42</v>
      </c>
      <c r="D19" s="135" t="s">
        <v>73</v>
      </c>
      <c r="E19" s="135" t="s">
        <v>72</v>
      </c>
      <c r="F19" s="136" t="s">
        <v>61</v>
      </c>
      <c r="G19" s="22" t="s">
        <v>91</v>
      </c>
      <c r="H19" s="22" t="s">
        <v>92</v>
      </c>
      <c r="I19" s="7" t="s">
        <v>60</v>
      </c>
      <c r="J19" s="7" t="s">
        <v>62</v>
      </c>
      <c r="K19" s="49" t="s">
        <v>93</v>
      </c>
      <c r="L19" s="49" t="s">
        <v>75</v>
      </c>
      <c r="M19" s="49" t="s">
        <v>74</v>
      </c>
    </row>
    <row r="20" spans="1:13" ht="15" customHeight="1">
      <c r="A20" s="17">
        <v>1</v>
      </c>
      <c r="B20" s="133" t="s">
        <v>81</v>
      </c>
      <c r="C20" s="108" t="s">
        <v>43</v>
      </c>
      <c r="D20" s="137">
        <v>1.9</v>
      </c>
      <c r="E20" s="47">
        <v>2.2999999999999998</v>
      </c>
      <c r="F20" s="47">
        <v>1.5</v>
      </c>
      <c r="G20" s="139">
        <f>AVERAGE(D20:F20)</f>
        <v>1.8999999999999997</v>
      </c>
      <c r="H20" s="17">
        <f>MIN(D20:F20)</f>
        <v>1.5</v>
      </c>
      <c r="I20" s="17">
        <v>5</v>
      </c>
      <c r="J20" s="44">
        <f>I20/G20</f>
        <v>2.6315789473684217</v>
      </c>
      <c r="K20" s="17">
        <f>AVERAGE(H20:H29)</f>
        <v>2.0799999999999996</v>
      </c>
      <c r="L20" s="17">
        <f>AVERAGE(I20:I29)</f>
        <v>3.9</v>
      </c>
      <c r="M20" s="141">
        <f>AVERAGE(J20:J29)</f>
        <v>2.0087188078892888</v>
      </c>
    </row>
    <row r="21" spans="1:13" ht="15" customHeight="1">
      <c r="A21" s="17">
        <v>2</v>
      </c>
      <c r="B21" s="133" t="s">
        <v>82</v>
      </c>
      <c r="C21" s="108" t="s">
        <v>43</v>
      </c>
      <c r="D21" s="47">
        <v>2</v>
      </c>
      <c r="E21" s="47">
        <v>1.8</v>
      </c>
      <c r="F21" s="47">
        <v>1.5</v>
      </c>
      <c r="G21" s="139">
        <f t="shared" ref="G21:G29" si="3">AVERAGE(D21:F21)</f>
        <v>1.7666666666666666</v>
      </c>
      <c r="H21" s="17">
        <f t="shared" ref="H21:H29" si="4">MIN(D21:F21)</f>
        <v>1.5</v>
      </c>
      <c r="I21" s="17">
        <v>5</v>
      </c>
      <c r="J21" s="44">
        <f t="shared" ref="J21:J29" si="5">I21/H21</f>
        <v>3.3333333333333335</v>
      </c>
    </row>
    <row r="22" spans="1:13" ht="15.75" customHeight="1">
      <c r="A22" s="17">
        <v>3</v>
      </c>
      <c r="B22" s="133" t="s">
        <v>83</v>
      </c>
      <c r="C22" s="108" t="s">
        <v>43</v>
      </c>
      <c r="D22" s="47">
        <v>3.1</v>
      </c>
      <c r="E22" s="47">
        <v>2.2999999999999998</v>
      </c>
      <c r="F22" s="138">
        <v>3.3</v>
      </c>
      <c r="G22" s="139">
        <f t="shared" si="3"/>
        <v>2.9</v>
      </c>
      <c r="H22" s="17">
        <f t="shared" si="4"/>
        <v>2.2999999999999998</v>
      </c>
      <c r="I22" s="17">
        <v>4</v>
      </c>
      <c r="J22" s="44">
        <f t="shared" si="5"/>
        <v>1.7391304347826089</v>
      </c>
    </row>
    <row r="23" spans="1:13" ht="15" customHeight="1">
      <c r="A23" s="17">
        <v>4</v>
      </c>
      <c r="B23" s="133" t="s">
        <v>84</v>
      </c>
      <c r="C23" s="108" t="s">
        <v>43</v>
      </c>
      <c r="D23" s="47">
        <v>1.6</v>
      </c>
      <c r="E23" s="47">
        <v>2</v>
      </c>
      <c r="F23" s="47">
        <v>1.9</v>
      </c>
      <c r="G23" s="139">
        <f t="shared" si="3"/>
        <v>1.8333333333333333</v>
      </c>
      <c r="H23" s="17">
        <f t="shared" si="4"/>
        <v>1.6</v>
      </c>
      <c r="I23" s="17">
        <v>5</v>
      </c>
      <c r="J23" s="44">
        <f t="shared" si="5"/>
        <v>3.125</v>
      </c>
    </row>
    <row r="24" spans="1:13" ht="15" customHeight="1">
      <c r="A24" s="17">
        <v>5</v>
      </c>
      <c r="B24" s="133" t="s">
        <v>85</v>
      </c>
      <c r="C24" s="108" t="s">
        <v>43</v>
      </c>
      <c r="D24" s="47">
        <v>2.2000000000000002</v>
      </c>
      <c r="E24" s="47">
        <v>2.9</v>
      </c>
      <c r="F24" s="47">
        <v>2.1</v>
      </c>
      <c r="G24" s="139">
        <f t="shared" si="3"/>
        <v>2.4</v>
      </c>
      <c r="H24" s="17">
        <f t="shared" si="4"/>
        <v>2.1</v>
      </c>
      <c r="I24" s="17">
        <v>5</v>
      </c>
      <c r="J24" s="44">
        <f t="shared" si="5"/>
        <v>2.3809523809523809</v>
      </c>
    </row>
    <row r="25" spans="1:13" ht="15.75" customHeight="1">
      <c r="A25" s="17">
        <v>6</v>
      </c>
      <c r="B25" s="133" t="s">
        <v>86</v>
      </c>
      <c r="C25" s="108" t="s">
        <v>43</v>
      </c>
      <c r="D25" s="47">
        <v>2.5</v>
      </c>
      <c r="E25" s="47">
        <v>3.2</v>
      </c>
      <c r="F25" s="47">
        <v>3.3</v>
      </c>
      <c r="G25" s="139">
        <f t="shared" si="3"/>
        <v>3</v>
      </c>
      <c r="H25" s="17">
        <f t="shared" si="4"/>
        <v>2.5</v>
      </c>
      <c r="I25" s="17">
        <v>3</v>
      </c>
      <c r="J25" s="44">
        <f t="shared" si="5"/>
        <v>1.2</v>
      </c>
    </row>
    <row r="26" spans="1:13" ht="15" customHeight="1">
      <c r="A26" s="17">
        <v>7</v>
      </c>
      <c r="B26" s="133" t="s">
        <v>87</v>
      </c>
      <c r="C26" s="108" t="s">
        <v>43</v>
      </c>
      <c r="D26" s="47">
        <v>3.5</v>
      </c>
      <c r="E26" s="47">
        <v>2.5</v>
      </c>
      <c r="F26" s="47">
        <v>3</v>
      </c>
      <c r="G26" s="139">
        <f t="shared" si="3"/>
        <v>3</v>
      </c>
      <c r="H26" s="17">
        <f t="shared" si="4"/>
        <v>2.5</v>
      </c>
      <c r="I26" s="17">
        <v>2</v>
      </c>
      <c r="J26" s="44">
        <f t="shared" si="5"/>
        <v>0.8</v>
      </c>
    </row>
    <row r="27" spans="1:13" ht="15" customHeight="1">
      <c r="A27" s="17">
        <v>8</v>
      </c>
      <c r="B27" s="133" t="s">
        <v>88</v>
      </c>
      <c r="C27" s="108" t="s">
        <v>43</v>
      </c>
      <c r="D27" s="47">
        <v>2.1</v>
      </c>
      <c r="E27" s="47">
        <v>1.9</v>
      </c>
      <c r="F27" s="47">
        <v>2.5</v>
      </c>
      <c r="G27" s="139">
        <f t="shared" si="3"/>
        <v>2.1666666666666665</v>
      </c>
      <c r="H27" s="17">
        <f t="shared" si="4"/>
        <v>1.9</v>
      </c>
      <c r="I27" s="17">
        <v>3</v>
      </c>
      <c r="J27" s="44">
        <f t="shared" si="5"/>
        <v>1.5789473684210527</v>
      </c>
    </row>
    <row r="28" spans="1:13" ht="15.75" customHeight="1">
      <c r="A28" s="17">
        <v>9</v>
      </c>
      <c r="B28" s="133" t="s">
        <v>89</v>
      </c>
      <c r="C28" s="108" t="s">
        <v>43</v>
      </c>
      <c r="D28" s="47">
        <v>3.3</v>
      </c>
      <c r="E28" s="47">
        <v>3.5</v>
      </c>
      <c r="F28" s="47">
        <v>3</v>
      </c>
      <c r="G28" s="139">
        <f t="shared" si="3"/>
        <v>3.2666666666666671</v>
      </c>
      <c r="H28" s="17">
        <f t="shared" si="4"/>
        <v>3</v>
      </c>
      <c r="I28" s="17">
        <v>2</v>
      </c>
      <c r="J28" s="44">
        <f t="shared" si="5"/>
        <v>0.66666666666666663</v>
      </c>
    </row>
    <row r="29" spans="1:13" ht="15" customHeight="1">
      <c r="A29" s="17">
        <v>10</v>
      </c>
      <c r="B29" s="134" t="s">
        <v>90</v>
      </c>
      <c r="C29" s="108" t="s">
        <v>43</v>
      </c>
      <c r="D29" s="47">
        <v>2.5</v>
      </c>
      <c r="E29" s="47">
        <v>2</v>
      </c>
      <c r="F29" s="47">
        <v>1.9</v>
      </c>
      <c r="G29" s="139">
        <f t="shared" si="3"/>
        <v>2.1333333333333333</v>
      </c>
      <c r="H29" s="17">
        <f t="shared" si="4"/>
        <v>1.9</v>
      </c>
      <c r="I29" s="17">
        <v>5</v>
      </c>
      <c r="J29" s="44">
        <f t="shared" si="5"/>
        <v>2.6315789473684212</v>
      </c>
    </row>
    <row r="30" spans="1:13" ht="15" customHeight="1">
      <c r="B30" s="36"/>
    </row>
    <row r="31" spans="1:13" ht="15.75" customHeight="1">
      <c r="B31" s="36"/>
    </row>
    <row r="32" spans="1:13" ht="15" customHeight="1"/>
    <row r="33" spans="2:2" ht="15" customHeight="1">
      <c r="B33" s="36"/>
    </row>
    <row r="34" spans="2:2" ht="15.75" customHeight="1">
      <c r="B34" s="36"/>
    </row>
    <row r="35" spans="2:2" ht="15" customHeight="1"/>
    <row r="36" spans="2:2" ht="15" customHeight="1">
      <c r="B36" s="36"/>
    </row>
    <row r="37" spans="2:2" ht="15.75" customHeight="1">
      <c r="B37" s="36"/>
    </row>
    <row r="38" spans="2:2" ht="15" customHeight="1"/>
    <row r="39" spans="2:2" ht="15" customHeight="1">
      <c r="B39" s="36"/>
    </row>
    <row r="40" spans="2:2" ht="15.75" customHeight="1">
      <c r="B40" s="36"/>
    </row>
    <row r="41" spans="2:2" ht="15" customHeight="1"/>
    <row r="42" spans="2:2" ht="15" customHeight="1">
      <c r="B42" s="36"/>
    </row>
    <row r="43" spans="2:2" ht="15.75" customHeight="1">
      <c r="B43" s="36"/>
    </row>
    <row r="44" spans="2:2" ht="15" customHeight="1"/>
    <row r="45" spans="2:2" ht="15" customHeight="1">
      <c r="B45" s="36"/>
    </row>
    <row r="46" spans="2:2" ht="15.75" customHeight="1">
      <c r="B46" s="36"/>
    </row>
    <row r="47" spans="2:2" ht="15" customHeight="1"/>
    <row r="48" spans="2:2" ht="15" customHeight="1">
      <c r="B48" s="132"/>
    </row>
    <row r="49" spans="2:2" ht="15.75" customHeight="1">
      <c r="B49" s="132"/>
    </row>
  </sheetData>
  <mergeCells count="2">
    <mergeCell ref="A18:J18"/>
    <mergeCell ref="A1:J1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2"/>
  <sheetViews>
    <sheetView topLeftCell="A13" workbookViewId="0">
      <selection activeCell="D23" sqref="D23:J32"/>
    </sheetView>
  </sheetViews>
  <sheetFormatPr defaultRowHeight="15"/>
  <cols>
    <col min="1" max="1" width="5" customWidth="1"/>
    <col min="2" max="2" width="18.42578125" customWidth="1"/>
    <col min="3" max="3" width="15.85546875" customWidth="1"/>
    <col min="4" max="4" width="16" customWidth="1"/>
    <col min="5" max="5" width="15" customWidth="1"/>
    <col min="6" max="6" width="15.7109375" customWidth="1"/>
    <col min="7" max="7" width="15" customWidth="1"/>
    <col min="8" max="8" width="14.5703125" customWidth="1"/>
    <col min="9" max="9" width="13.28515625" customWidth="1"/>
    <col min="10" max="10" width="19.7109375" customWidth="1"/>
    <col min="11" max="11" width="17" customWidth="1"/>
    <col min="12" max="12" width="15.5703125" customWidth="1"/>
    <col min="13" max="13" width="17.42578125" customWidth="1"/>
  </cols>
  <sheetData>
    <row r="1" spans="1:1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180"/>
    </row>
    <row r="2" spans="1:13" ht="91.5" customHeight="1">
      <c r="A2" s="17" t="s">
        <v>41</v>
      </c>
      <c r="B2" s="17" t="s">
        <v>1</v>
      </c>
      <c r="C2" s="17" t="s">
        <v>42</v>
      </c>
      <c r="D2" s="17" t="s">
        <v>73</v>
      </c>
      <c r="E2" s="17" t="s">
        <v>72</v>
      </c>
      <c r="F2" s="22" t="s">
        <v>61</v>
      </c>
      <c r="G2" s="22" t="s">
        <v>91</v>
      </c>
      <c r="H2" s="22" t="s">
        <v>92</v>
      </c>
      <c r="I2" s="7" t="s">
        <v>60</v>
      </c>
      <c r="J2" s="7" t="s">
        <v>62</v>
      </c>
      <c r="K2" s="49" t="s">
        <v>93</v>
      </c>
      <c r="L2" s="49" t="s">
        <v>75</v>
      </c>
      <c r="M2" s="49" t="s">
        <v>74</v>
      </c>
    </row>
    <row r="3" spans="1:13" ht="17.25" customHeight="1">
      <c r="A3" s="17">
        <v>1</v>
      </c>
      <c r="B3" s="42" t="s">
        <v>7</v>
      </c>
      <c r="C3" s="46" t="s">
        <v>43</v>
      </c>
      <c r="D3" s="47">
        <v>2.1</v>
      </c>
      <c r="E3" s="47">
        <v>2.2000000000000002</v>
      </c>
      <c r="F3" s="47">
        <v>2.2999999999999998</v>
      </c>
      <c r="G3" s="48">
        <f>AVERAGE(D3:F3)</f>
        <v>2.2000000000000002</v>
      </c>
      <c r="H3" s="35">
        <f>MIN(D3:F3)</f>
        <v>2.1</v>
      </c>
      <c r="I3" s="43">
        <v>5</v>
      </c>
      <c r="J3" s="44">
        <f>I3/H3</f>
        <v>2.3809523809523809</v>
      </c>
      <c r="K3" s="29">
        <f>AVERAGE(H3:H12)</f>
        <v>2.9699999999999998</v>
      </c>
      <c r="L3" s="23">
        <f>AVERAGE(I3:I12)</f>
        <v>3.8</v>
      </c>
      <c r="M3" s="113">
        <f>AVERAGE(J3:J12)</f>
        <v>1.4632405018379775</v>
      </c>
    </row>
    <row r="4" spans="1:13" ht="17.25" customHeight="1">
      <c r="A4" s="17">
        <v>2</v>
      </c>
      <c r="B4" s="42" t="s">
        <v>8</v>
      </c>
      <c r="C4" s="46" t="s">
        <v>43</v>
      </c>
      <c r="D4" s="47">
        <v>2.2000000000000002</v>
      </c>
      <c r="E4" s="47">
        <v>2.2999999999999998</v>
      </c>
      <c r="F4" s="47">
        <v>2.8</v>
      </c>
      <c r="G4" s="48">
        <f t="shared" ref="G4:G12" si="0">AVERAGE(D4:F4)</f>
        <v>2.4333333333333331</v>
      </c>
      <c r="H4" s="35">
        <f t="shared" ref="H4:H12" si="1">MIN(D4:F4)</f>
        <v>2.2000000000000002</v>
      </c>
      <c r="I4" s="43">
        <v>5</v>
      </c>
      <c r="J4" s="44">
        <f t="shared" ref="J4:J12" si="2">I4/H4</f>
        <v>2.2727272727272725</v>
      </c>
    </row>
    <row r="5" spans="1:13" ht="17.25" customHeight="1">
      <c r="A5" s="17">
        <v>3</v>
      </c>
      <c r="B5" s="42" t="s">
        <v>9</v>
      </c>
      <c r="C5" s="46" t="s">
        <v>43</v>
      </c>
      <c r="D5" s="47">
        <v>3.4</v>
      </c>
      <c r="E5" s="47">
        <v>2.5</v>
      </c>
      <c r="F5" s="47">
        <v>3.5</v>
      </c>
      <c r="G5" s="48">
        <f t="shared" si="0"/>
        <v>3.1333333333333333</v>
      </c>
      <c r="H5" s="35">
        <f t="shared" si="1"/>
        <v>2.5</v>
      </c>
      <c r="I5" s="43">
        <v>4</v>
      </c>
      <c r="J5" s="44">
        <f t="shared" si="2"/>
        <v>1.6</v>
      </c>
    </row>
    <row r="6" spans="1:13" ht="17.25" customHeight="1">
      <c r="A6" s="17">
        <v>4</v>
      </c>
      <c r="B6" s="42" t="s">
        <v>10</v>
      </c>
      <c r="C6" s="46" t="s">
        <v>43</v>
      </c>
      <c r="D6" s="47"/>
      <c r="E6" s="47">
        <v>4</v>
      </c>
      <c r="F6" s="47"/>
      <c r="G6" s="48">
        <f>AVERAGE(D6:F6)</f>
        <v>4</v>
      </c>
      <c r="H6" s="35">
        <f t="shared" si="1"/>
        <v>4</v>
      </c>
      <c r="I6" s="43">
        <v>2</v>
      </c>
      <c r="J6" s="44">
        <f t="shared" si="2"/>
        <v>0.5</v>
      </c>
    </row>
    <row r="7" spans="1:13" ht="17.25" customHeight="1">
      <c r="A7" s="17">
        <v>5</v>
      </c>
      <c r="B7" s="42" t="s">
        <v>11</v>
      </c>
      <c r="C7" s="46" t="s">
        <v>43</v>
      </c>
      <c r="D7" s="47">
        <v>4.0999999999999996</v>
      </c>
      <c r="E7" s="47">
        <v>4</v>
      </c>
      <c r="F7" s="47">
        <v>3.1</v>
      </c>
      <c r="G7" s="48">
        <f t="shared" si="0"/>
        <v>3.7333333333333329</v>
      </c>
      <c r="H7" s="35">
        <f t="shared" si="1"/>
        <v>3.1</v>
      </c>
      <c r="I7" s="43">
        <v>4</v>
      </c>
      <c r="J7" s="44">
        <f t="shared" si="2"/>
        <v>1.2903225806451613</v>
      </c>
    </row>
    <row r="8" spans="1:13" ht="17.25" customHeight="1">
      <c r="A8" s="17">
        <v>6</v>
      </c>
      <c r="B8" s="42" t="s">
        <v>44</v>
      </c>
      <c r="C8" s="46" t="s">
        <v>43</v>
      </c>
      <c r="D8" s="47">
        <v>4</v>
      </c>
      <c r="E8" s="47">
        <v>2.2999999999999998</v>
      </c>
      <c r="F8" s="47">
        <v>3.7</v>
      </c>
      <c r="G8" s="48">
        <f t="shared" si="0"/>
        <v>3.3333333333333335</v>
      </c>
      <c r="H8" s="35">
        <f t="shared" si="1"/>
        <v>2.2999999999999998</v>
      </c>
      <c r="I8" s="43">
        <v>4</v>
      </c>
      <c r="J8" s="44">
        <f t="shared" si="2"/>
        <v>1.7391304347826089</v>
      </c>
    </row>
    <row r="9" spans="1:13" ht="17.25" customHeight="1">
      <c r="A9" s="17">
        <v>7</v>
      </c>
      <c r="B9" s="42" t="s">
        <v>13</v>
      </c>
      <c r="C9" s="46" t="s">
        <v>43</v>
      </c>
      <c r="D9" s="47"/>
      <c r="E9" s="47">
        <v>4.5</v>
      </c>
      <c r="F9" s="47">
        <v>3.9</v>
      </c>
      <c r="G9" s="48">
        <f t="shared" si="0"/>
        <v>4.2</v>
      </c>
      <c r="H9" s="35">
        <f t="shared" si="1"/>
        <v>3.9</v>
      </c>
      <c r="I9" s="43">
        <v>3</v>
      </c>
      <c r="J9" s="44">
        <f t="shared" si="2"/>
        <v>0.76923076923076927</v>
      </c>
    </row>
    <row r="10" spans="1:13" ht="17.25" customHeight="1">
      <c r="A10" s="17">
        <v>8</v>
      </c>
      <c r="B10" s="42" t="s">
        <v>14</v>
      </c>
      <c r="C10" s="46" t="s">
        <v>43</v>
      </c>
      <c r="D10" s="47">
        <v>5</v>
      </c>
      <c r="E10" s="47">
        <v>3.7</v>
      </c>
      <c r="F10" s="47">
        <v>4.0999999999999996</v>
      </c>
      <c r="G10" s="48">
        <f t="shared" si="0"/>
        <v>4.2666666666666666</v>
      </c>
      <c r="H10" s="35">
        <f t="shared" si="1"/>
        <v>3.7</v>
      </c>
      <c r="I10" s="43">
        <v>3</v>
      </c>
      <c r="J10" s="44">
        <f t="shared" si="2"/>
        <v>0.81081081081081074</v>
      </c>
    </row>
    <row r="11" spans="1:13" ht="17.25" customHeight="1">
      <c r="A11" s="17">
        <v>9</v>
      </c>
      <c r="B11" s="42" t="s">
        <v>15</v>
      </c>
      <c r="C11" s="46" t="s">
        <v>43</v>
      </c>
      <c r="D11" s="47">
        <v>4.5</v>
      </c>
      <c r="E11" s="47">
        <v>3.9</v>
      </c>
      <c r="F11" s="47">
        <v>4.0999999999999996</v>
      </c>
      <c r="G11" s="48">
        <f t="shared" si="0"/>
        <v>4.166666666666667</v>
      </c>
      <c r="H11" s="35">
        <f t="shared" si="1"/>
        <v>3.9</v>
      </c>
      <c r="I11" s="43">
        <v>3</v>
      </c>
      <c r="J11" s="44">
        <f t="shared" si="2"/>
        <v>0.76923076923076927</v>
      </c>
    </row>
    <row r="12" spans="1:13" ht="17.25" customHeight="1">
      <c r="A12" s="17">
        <v>10</v>
      </c>
      <c r="B12" s="42" t="s">
        <v>16</v>
      </c>
      <c r="C12" s="46" t="s">
        <v>43</v>
      </c>
      <c r="D12" s="47">
        <v>2.2999999999999998</v>
      </c>
      <c r="E12" s="47">
        <v>2</v>
      </c>
      <c r="F12" s="47">
        <v>2.5</v>
      </c>
      <c r="G12" s="48">
        <f t="shared" si="0"/>
        <v>2.2666666666666666</v>
      </c>
      <c r="H12" s="35">
        <f t="shared" si="1"/>
        <v>2</v>
      </c>
      <c r="I12" s="43">
        <v>5</v>
      </c>
      <c r="J12" s="44">
        <f t="shared" si="2"/>
        <v>2.5</v>
      </c>
    </row>
    <row r="21" spans="1:13">
      <c r="A21" s="180" t="s">
        <v>80</v>
      </c>
      <c r="B21" s="180"/>
      <c r="C21" s="180"/>
      <c r="D21" s="180"/>
      <c r="E21" s="180"/>
      <c r="F21" s="180"/>
      <c r="G21" s="180"/>
      <c r="H21" s="180"/>
      <c r="I21" s="180"/>
      <c r="J21" s="180"/>
      <c r="K21" s="34"/>
      <c r="L21" s="34"/>
      <c r="M21" s="34"/>
    </row>
    <row r="22" spans="1:13" ht="90">
      <c r="A22" s="17" t="s">
        <v>41</v>
      </c>
      <c r="B22" s="17" t="s">
        <v>1</v>
      </c>
      <c r="C22" s="17" t="s">
        <v>42</v>
      </c>
      <c r="D22" s="135" t="s">
        <v>73</v>
      </c>
      <c r="E22" s="135" t="s">
        <v>72</v>
      </c>
      <c r="F22" s="136" t="s">
        <v>61</v>
      </c>
      <c r="G22" s="22" t="s">
        <v>91</v>
      </c>
      <c r="H22" s="22" t="s">
        <v>92</v>
      </c>
      <c r="I22" s="7" t="s">
        <v>60</v>
      </c>
      <c r="J22" s="7" t="s">
        <v>62</v>
      </c>
      <c r="K22" s="49" t="s">
        <v>93</v>
      </c>
      <c r="L22" s="49" t="s">
        <v>75</v>
      </c>
      <c r="M22" s="49" t="s">
        <v>74</v>
      </c>
    </row>
    <row r="23" spans="1:13" ht="15.75">
      <c r="A23" s="17">
        <v>1</v>
      </c>
      <c r="B23" s="133" t="s">
        <v>81</v>
      </c>
      <c r="C23" s="108" t="s">
        <v>43</v>
      </c>
      <c r="D23" s="47">
        <v>3</v>
      </c>
      <c r="E23" s="47">
        <v>3.3</v>
      </c>
      <c r="F23" s="47">
        <v>3.6</v>
      </c>
      <c r="G23" s="139">
        <f>AVERAGE(D23:F23)</f>
        <v>3.3000000000000003</v>
      </c>
      <c r="H23" s="17">
        <f>MIN(D23:F23)</f>
        <v>3</v>
      </c>
      <c r="I23" s="17">
        <v>4</v>
      </c>
      <c r="J23" s="44">
        <f>I23/H23</f>
        <v>1.3333333333333333</v>
      </c>
      <c r="K23" s="17">
        <f>AVERAGE(H23:H32)</f>
        <v>3.14</v>
      </c>
      <c r="L23" s="17">
        <f>AVERAGE(I23:I32)</f>
        <v>3.8</v>
      </c>
      <c r="M23" s="140">
        <f>AVERAGE(J23:J32)</f>
        <v>1.2908387147517584</v>
      </c>
    </row>
    <row r="24" spans="1:13" ht="15.75">
      <c r="A24" s="17">
        <v>2</v>
      </c>
      <c r="B24" s="133" t="s">
        <v>82</v>
      </c>
      <c r="C24" s="108" t="s">
        <v>43</v>
      </c>
      <c r="D24" s="47">
        <v>3.5</v>
      </c>
      <c r="E24" s="47">
        <v>4</v>
      </c>
      <c r="F24" s="47">
        <v>3</v>
      </c>
      <c r="G24" s="139">
        <f t="shared" ref="G24:G32" si="3">AVERAGE(D24:F24)</f>
        <v>3.5</v>
      </c>
      <c r="H24" s="17">
        <f t="shared" ref="H24:H32" si="4">MIN(D24:F24)</f>
        <v>3</v>
      </c>
      <c r="I24" s="17">
        <v>4</v>
      </c>
      <c r="J24" s="44">
        <f t="shared" ref="J24:J32" si="5">I24/H24</f>
        <v>1.3333333333333333</v>
      </c>
      <c r="K24" s="34"/>
      <c r="L24" s="34"/>
      <c r="M24" s="34"/>
    </row>
    <row r="25" spans="1:13" ht="15.75">
      <c r="A25" s="17">
        <v>3</v>
      </c>
      <c r="B25" s="133" t="s">
        <v>83</v>
      </c>
      <c r="C25" s="108" t="s">
        <v>43</v>
      </c>
      <c r="D25" s="47">
        <v>3.5</v>
      </c>
      <c r="E25" s="47">
        <v>4</v>
      </c>
      <c r="F25" s="47">
        <v>4.0999999999999996</v>
      </c>
      <c r="G25" s="139">
        <f t="shared" si="3"/>
        <v>3.8666666666666667</v>
      </c>
      <c r="H25" s="17">
        <f t="shared" si="4"/>
        <v>3.5</v>
      </c>
      <c r="I25" s="17">
        <v>4</v>
      </c>
      <c r="J25" s="44">
        <f t="shared" si="5"/>
        <v>1.1428571428571428</v>
      </c>
      <c r="K25" s="34"/>
      <c r="L25" s="34"/>
      <c r="M25" s="34"/>
    </row>
    <row r="26" spans="1:13" ht="15.75">
      <c r="A26" s="17">
        <v>4</v>
      </c>
      <c r="B26" s="133" t="s">
        <v>84</v>
      </c>
      <c r="C26" s="108" t="s">
        <v>43</v>
      </c>
      <c r="D26" s="47">
        <v>5</v>
      </c>
      <c r="E26" s="47">
        <v>3.9</v>
      </c>
      <c r="F26" s="47">
        <v>4.5</v>
      </c>
      <c r="G26" s="139">
        <f t="shared" si="3"/>
        <v>4.4666666666666668</v>
      </c>
      <c r="H26" s="17">
        <f t="shared" si="4"/>
        <v>3.9</v>
      </c>
      <c r="I26" s="17">
        <v>3</v>
      </c>
      <c r="J26" s="44">
        <f t="shared" si="5"/>
        <v>0.76923076923076927</v>
      </c>
      <c r="K26" s="34"/>
      <c r="L26" s="34"/>
      <c r="M26" s="34"/>
    </row>
    <row r="27" spans="1:13" ht="15.75">
      <c r="A27" s="17">
        <v>5</v>
      </c>
      <c r="B27" s="133" t="s">
        <v>85</v>
      </c>
      <c r="C27" s="108" t="s">
        <v>43</v>
      </c>
      <c r="D27" s="47">
        <v>4</v>
      </c>
      <c r="E27" s="47">
        <v>3.9</v>
      </c>
      <c r="F27" s="47">
        <v>3.6</v>
      </c>
      <c r="G27" s="139">
        <f t="shared" si="3"/>
        <v>3.8333333333333335</v>
      </c>
      <c r="H27" s="17">
        <f t="shared" si="4"/>
        <v>3.6</v>
      </c>
      <c r="I27" s="17">
        <v>3</v>
      </c>
      <c r="J27" s="44">
        <f t="shared" si="5"/>
        <v>0.83333333333333326</v>
      </c>
      <c r="K27" s="34"/>
      <c r="L27" s="34"/>
      <c r="M27" s="34"/>
    </row>
    <row r="28" spans="1:13" ht="15.75">
      <c r="A28" s="17">
        <v>6</v>
      </c>
      <c r="B28" s="133" t="s">
        <v>86</v>
      </c>
      <c r="C28" s="108" t="s">
        <v>43</v>
      </c>
      <c r="D28" s="47">
        <v>4.0999999999999996</v>
      </c>
      <c r="E28" s="47">
        <v>3.3</v>
      </c>
      <c r="F28" s="47">
        <v>3.5</v>
      </c>
      <c r="G28" s="139">
        <f t="shared" si="3"/>
        <v>3.6333333333333329</v>
      </c>
      <c r="H28" s="17">
        <f t="shared" si="4"/>
        <v>3.3</v>
      </c>
      <c r="I28" s="17">
        <v>3</v>
      </c>
      <c r="J28" s="44">
        <f t="shared" si="5"/>
        <v>0.90909090909090917</v>
      </c>
      <c r="K28" s="34"/>
      <c r="L28" s="34"/>
      <c r="M28" s="34"/>
    </row>
    <row r="29" spans="1:13" ht="15.75">
      <c r="A29" s="17">
        <v>7</v>
      </c>
      <c r="B29" s="133" t="s">
        <v>87</v>
      </c>
      <c r="C29" s="108" t="s">
        <v>43</v>
      </c>
      <c r="D29" s="47">
        <v>2.2999999999999998</v>
      </c>
      <c r="E29" s="47">
        <v>2.4</v>
      </c>
      <c r="F29" s="47">
        <v>2.8</v>
      </c>
      <c r="G29" s="139">
        <f t="shared" si="3"/>
        <v>2.4999999999999996</v>
      </c>
      <c r="H29" s="17">
        <f t="shared" si="4"/>
        <v>2.2999999999999998</v>
      </c>
      <c r="I29" s="17">
        <v>5</v>
      </c>
      <c r="J29" s="44">
        <f t="shared" si="5"/>
        <v>2.1739130434782612</v>
      </c>
      <c r="K29" s="34"/>
      <c r="L29" s="34"/>
      <c r="M29" s="34"/>
    </row>
    <row r="30" spans="1:13" ht="15.75">
      <c r="A30" s="17">
        <v>8</v>
      </c>
      <c r="B30" s="133" t="s">
        <v>88</v>
      </c>
      <c r="C30" s="108" t="s">
        <v>43</v>
      </c>
      <c r="D30" s="47">
        <v>4</v>
      </c>
      <c r="E30" s="47">
        <v>3.9</v>
      </c>
      <c r="F30" s="47">
        <v>3.7</v>
      </c>
      <c r="G30" s="139">
        <f t="shared" si="3"/>
        <v>3.8666666666666671</v>
      </c>
      <c r="H30" s="17">
        <f t="shared" si="4"/>
        <v>3.7</v>
      </c>
      <c r="I30" s="17">
        <v>3</v>
      </c>
      <c r="J30" s="44">
        <f t="shared" si="5"/>
        <v>0.81081081081081074</v>
      </c>
      <c r="K30" s="34"/>
      <c r="L30" s="34"/>
      <c r="M30" s="34"/>
    </row>
    <row r="31" spans="1:13" ht="15.75">
      <c r="A31" s="17">
        <v>9</v>
      </c>
      <c r="B31" s="133" t="s">
        <v>89</v>
      </c>
      <c r="C31" s="108" t="s">
        <v>43</v>
      </c>
      <c r="D31" s="47">
        <v>3.2</v>
      </c>
      <c r="E31" s="47">
        <v>2.8</v>
      </c>
      <c r="F31" s="47">
        <v>3.5</v>
      </c>
      <c r="G31" s="139">
        <f t="shared" si="3"/>
        <v>3.1666666666666665</v>
      </c>
      <c r="H31" s="17">
        <f t="shared" si="4"/>
        <v>2.8</v>
      </c>
      <c r="I31" s="17">
        <v>4</v>
      </c>
      <c r="J31" s="44">
        <f t="shared" si="5"/>
        <v>1.4285714285714286</v>
      </c>
      <c r="K31" s="34"/>
      <c r="L31" s="34"/>
      <c r="M31" s="34"/>
    </row>
    <row r="32" spans="1:13" ht="15.75">
      <c r="A32" s="17">
        <v>10</v>
      </c>
      <c r="B32" s="134" t="s">
        <v>90</v>
      </c>
      <c r="C32" s="108" t="s">
        <v>43</v>
      </c>
      <c r="D32" s="47">
        <v>2.5</v>
      </c>
      <c r="E32" s="47">
        <v>2.2999999999999998</v>
      </c>
      <c r="F32" s="47">
        <v>2.4</v>
      </c>
      <c r="G32" s="139">
        <f t="shared" si="3"/>
        <v>2.4</v>
      </c>
      <c r="H32" s="17">
        <f t="shared" si="4"/>
        <v>2.2999999999999998</v>
      </c>
      <c r="I32" s="17">
        <v>5</v>
      </c>
      <c r="J32" s="44">
        <f t="shared" si="5"/>
        <v>2.1739130434782612</v>
      </c>
      <c r="K32" s="34"/>
      <c r="L32" s="34"/>
      <c r="M32" s="34"/>
    </row>
  </sheetData>
  <mergeCells count="2">
    <mergeCell ref="A1:J1"/>
    <mergeCell ref="A21:J2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0"/>
  <sheetViews>
    <sheetView topLeftCell="A13" workbookViewId="0">
      <selection activeCell="E35" sqref="E35"/>
    </sheetView>
  </sheetViews>
  <sheetFormatPr defaultRowHeight="15"/>
  <cols>
    <col min="1" max="1" width="6.7109375" style="14" customWidth="1"/>
    <col min="2" max="2" width="21.5703125" style="14" customWidth="1"/>
    <col min="3" max="3" width="16.42578125" style="14" customWidth="1"/>
    <col min="4" max="4" width="14.28515625" style="14" customWidth="1"/>
    <col min="5" max="5" width="14.7109375" style="14" customWidth="1"/>
    <col min="6" max="6" width="14.28515625" style="14" customWidth="1"/>
    <col min="7" max="7" width="15.5703125" style="14" customWidth="1"/>
    <col min="8" max="8" width="15.28515625" style="14" customWidth="1"/>
    <col min="9" max="9" width="14.28515625" style="14" customWidth="1"/>
    <col min="10" max="10" width="19.85546875" style="14" customWidth="1"/>
    <col min="11" max="11" width="17.28515625" style="14" customWidth="1"/>
    <col min="12" max="12" width="15.5703125" style="14" customWidth="1"/>
    <col min="13" max="13" width="16.7109375" style="14" customWidth="1"/>
    <col min="14" max="16384" width="9.140625" style="14"/>
  </cols>
  <sheetData>
    <row r="1" spans="1:13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180"/>
    </row>
    <row r="2" spans="1:13" ht="101.25" customHeight="1">
      <c r="A2" s="17" t="s">
        <v>41</v>
      </c>
      <c r="B2" s="17" t="s">
        <v>1</v>
      </c>
      <c r="C2" s="17" t="s">
        <v>42</v>
      </c>
      <c r="D2" s="17" t="s">
        <v>73</v>
      </c>
      <c r="E2" s="17" t="s">
        <v>72</v>
      </c>
      <c r="F2" s="22" t="s">
        <v>61</v>
      </c>
      <c r="G2" s="21" t="s">
        <v>91</v>
      </c>
      <c r="H2" s="22" t="s">
        <v>92</v>
      </c>
      <c r="I2" s="7" t="s">
        <v>60</v>
      </c>
      <c r="J2" s="7" t="s">
        <v>62</v>
      </c>
      <c r="K2" s="49" t="s">
        <v>93</v>
      </c>
      <c r="L2" s="49" t="s">
        <v>75</v>
      </c>
      <c r="M2" s="49" t="s">
        <v>74</v>
      </c>
    </row>
    <row r="3" spans="1:13" ht="18" customHeight="1">
      <c r="A3" s="17">
        <v>1</v>
      </c>
      <c r="B3" s="42" t="s">
        <v>7</v>
      </c>
      <c r="C3" s="46" t="s">
        <v>43</v>
      </c>
      <c r="D3" s="47">
        <v>4</v>
      </c>
      <c r="E3" s="47">
        <v>1.9</v>
      </c>
      <c r="F3" s="47">
        <v>2.2999999999999998</v>
      </c>
      <c r="G3" s="48">
        <f>AVERAGE(D3:F3)</f>
        <v>2.7333333333333329</v>
      </c>
      <c r="H3" s="35">
        <f>MIN(D3:F3)</f>
        <v>1.9</v>
      </c>
      <c r="I3" s="43">
        <v>5</v>
      </c>
      <c r="J3" s="44">
        <f>I3/H3</f>
        <v>2.6315789473684212</v>
      </c>
      <c r="K3" s="35">
        <f>AVERAGE(H3:H12)</f>
        <v>2.13</v>
      </c>
      <c r="L3" s="51">
        <f>AVERAGE(I3:I12)</f>
        <v>3.8</v>
      </c>
      <c r="M3" s="140">
        <f>AVERAGE(J3:J12)</f>
        <v>1.9404881769641498</v>
      </c>
    </row>
    <row r="4" spans="1:13" ht="18" customHeight="1">
      <c r="A4" s="17">
        <v>2</v>
      </c>
      <c r="B4" s="42" t="s">
        <v>8</v>
      </c>
      <c r="C4" s="46" t="s">
        <v>43</v>
      </c>
      <c r="D4" s="47">
        <v>2.6</v>
      </c>
      <c r="E4" s="47">
        <v>2</v>
      </c>
      <c r="F4" s="47">
        <v>1.9</v>
      </c>
      <c r="G4" s="48">
        <f t="shared" ref="G4:G12" si="0">AVERAGE(D4:F4)</f>
        <v>2.1666666666666665</v>
      </c>
      <c r="H4" s="35">
        <f t="shared" ref="H4:H12" si="1">MIN(D4:F4)</f>
        <v>1.9</v>
      </c>
      <c r="I4" s="43">
        <v>5</v>
      </c>
      <c r="J4" s="44">
        <f t="shared" ref="J4:J12" si="2">I4/H4</f>
        <v>2.6315789473684212</v>
      </c>
    </row>
    <row r="5" spans="1:13" ht="18" customHeight="1">
      <c r="A5" s="17">
        <v>3</v>
      </c>
      <c r="B5" s="42" t="s">
        <v>9</v>
      </c>
      <c r="C5" s="46" t="s">
        <v>43</v>
      </c>
      <c r="D5" s="47">
        <v>2.2999999999999998</v>
      </c>
      <c r="E5" s="47">
        <v>3.2</v>
      </c>
      <c r="F5" s="47">
        <v>1.9</v>
      </c>
      <c r="G5" s="48">
        <f t="shared" si="0"/>
        <v>2.4666666666666668</v>
      </c>
      <c r="H5" s="35">
        <f t="shared" si="1"/>
        <v>1.9</v>
      </c>
      <c r="I5" s="43">
        <v>5</v>
      </c>
      <c r="J5" s="44">
        <f t="shared" si="2"/>
        <v>2.6315789473684212</v>
      </c>
    </row>
    <row r="6" spans="1:13" ht="18" customHeight="1">
      <c r="A6" s="17">
        <v>4</v>
      </c>
      <c r="B6" s="42" t="s">
        <v>10</v>
      </c>
      <c r="C6" s="46" t="s">
        <v>43</v>
      </c>
      <c r="D6" s="47"/>
      <c r="E6" s="47">
        <v>5.5</v>
      </c>
      <c r="F6" s="47">
        <v>3</v>
      </c>
      <c r="G6" s="48">
        <f>AVERAGE(D6:F6)</f>
        <v>4.25</v>
      </c>
      <c r="H6" s="35">
        <f t="shared" si="1"/>
        <v>3</v>
      </c>
      <c r="I6" s="43">
        <v>2</v>
      </c>
      <c r="J6" s="44">
        <f t="shared" si="2"/>
        <v>0.66666666666666663</v>
      </c>
    </row>
    <row r="7" spans="1:13" ht="18" customHeight="1">
      <c r="A7" s="17">
        <v>5</v>
      </c>
      <c r="B7" s="42" t="s">
        <v>11</v>
      </c>
      <c r="C7" s="46" t="s">
        <v>43</v>
      </c>
      <c r="D7" s="47">
        <v>2.2999999999999998</v>
      </c>
      <c r="E7" s="47">
        <v>2.5</v>
      </c>
      <c r="F7" s="47">
        <v>3.2</v>
      </c>
      <c r="G7" s="48">
        <f t="shared" si="0"/>
        <v>2.6666666666666665</v>
      </c>
      <c r="H7" s="35">
        <f t="shared" si="1"/>
        <v>2.2999999999999998</v>
      </c>
      <c r="I7" s="43">
        <v>4</v>
      </c>
      <c r="J7" s="44">
        <f t="shared" si="2"/>
        <v>1.7391304347826089</v>
      </c>
    </row>
    <row r="8" spans="1:13" ht="18" customHeight="1">
      <c r="A8" s="17">
        <v>6</v>
      </c>
      <c r="B8" s="42" t="s">
        <v>44</v>
      </c>
      <c r="C8" s="46" t="s">
        <v>43</v>
      </c>
      <c r="D8" s="47">
        <v>4.3</v>
      </c>
      <c r="E8" s="47">
        <v>3</v>
      </c>
      <c r="F8" s="47">
        <v>2.5</v>
      </c>
      <c r="G8" s="48">
        <f t="shared" si="0"/>
        <v>3.2666666666666671</v>
      </c>
      <c r="H8" s="35">
        <f t="shared" si="1"/>
        <v>2.5</v>
      </c>
      <c r="I8" s="43">
        <v>2</v>
      </c>
      <c r="J8" s="44">
        <f t="shared" si="2"/>
        <v>0.8</v>
      </c>
    </row>
    <row r="9" spans="1:13" ht="18" customHeight="1">
      <c r="A9" s="17">
        <v>7</v>
      </c>
      <c r="B9" s="42" t="s">
        <v>13</v>
      </c>
      <c r="C9" s="46" t="s">
        <v>43</v>
      </c>
      <c r="D9" s="47">
        <v>2.2999999999999998</v>
      </c>
      <c r="E9" s="47">
        <v>2.5</v>
      </c>
      <c r="F9" s="47">
        <v>2.2999999999999998</v>
      </c>
      <c r="G9" s="48">
        <f t="shared" si="0"/>
        <v>2.3666666666666667</v>
      </c>
      <c r="H9" s="35">
        <f t="shared" si="1"/>
        <v>2.2999999999999998</v>
      </c>
      <c r="I9" s="43">
        <v>3</v>
      </c>
      <c r="J9" s="44">
        <f t="shared" si="2"/>
        <v>1.3043478260869565</v>
      </c>
    </row>
    <row r="10" spans="1:13" ht="18" customHeight="1">
      <c r="A10" s="17">
        <v>8</v>
      </c>
      <c r="B10" s="42" t="s">
        <v>14</v>
      </c>
      <c r="C10" s="46" t="s">
        <v>43</v>
      </c>
      <c r="D10" s="47">
        <v>2</v>
      </c>
      <c r="E10" s="47">
        <v>2.2000000000000002</v>
      </c>
      <c r="F10" s="47">
        <v>2.2999999999999998</v>
      </c>
      <c r="G10" s="48">
        <f t="shared" si="0"/>
        <v>2.1666666666666665</v>
      </c>
      <c r="H10" s="35">
        <f t="shared" si="1"/>
        <v>2</v>
      </c>
      <c r="I10" s="43">
        <v>4</v>
      </c>
      <c r="J10" s="44">
        <f t="shared" si="2"/>
        <v>2</v>
      </c>
    </row>
    <row r="11" spans="1:13" ht="18" customHeight="1">
      <c r="A11" s="17">
        <v>9</v>
      </c>
      <c r="B11" s="42" t="s">
        <v>15</v>
      </c>
      <c r="C11" s="46" t="s">
        <v>43</v>
      </c>
      <c r="D11" s="47">
        <v>2.2999999999999998</v>
      </c>
      <c r="E11" s="47">
        <v>2.2000000000000002</v>
      </c>
      <c r="F11" s="47">
        <v>2.1</v>
      </c>
      <c r="G11" s="48">
        <f t="shared" si="0"/>
        <v>2.1999999999999997</v>
      </c>
      <c r="H11" s="35">
        <f t="shared" si="1"/>
        <v>2.1</v>
      </c>
      <c r="I11" s="43">
        <v>3</v>
      </c>
      <c r="J11" s="44">
        <f t="shared" si="2"/>
        <v>1.4285714285714286</v>
      </c>
    </row>
    <row r="12" spans="1:13" ht="18" customHeight="1">
      <c r="A12" s="17">
        <v>10</v>
      </c>
      <c r="B12" s="42" t="s">
        <v>16</v>
      </c>
      <c r="C12" s="46" t="s">
        <v>43</v>
      </c>
      <c r="D12" s="47">
        <v>2</v>
      </c>
      <c r="E12" s="47">
        <v>1.6</v>
      </c>
      <c r="F12" s="47">
        <v>1.4</v>
      </c>
      <c r="G12" s="48">
        <f t="shared" si="0"/>
        <v>1.6666666666666667</v>
      </c>
      <c r="H12" s="35">
        <f t="shared" si="1"/>
        <v>1.4</v>
      </c>
      <c r="I12" s="43">
        <v>5</v>
      </c>
      <c r="J12" s="44">
        <f t="shared" si="2"/>
        <v>3.5714285714285716</v>
      </c>
    </row>
    <row r="19" spans="1:13">
      <c r="A19" s="180" t="s">
        <v>80</v>
      </c>
      <c r="B19" s="180"/>
      <c r="C19" s="180"/>
      <c r="D19" s="180"/>
      <c r="E19" s="180"/>
      <c r="F19" s="180"/>
      <c r="G19" s="180"/>
      <c r="H19" s="180"/>
      <c r="I19" s="180"/>
      <c r="J19" s="180"/>
      <c r="K19" s="34"/>
      <c r="L19" s="34"/>
      <c r="M19" s="34"/>
    </row>
    <row r="20" spans="1:13" ht="90">
      <c r="A20" s="17" t="s">
        <v>41</v>
      </c>
      <c r="B20" s="17" t="s">
        <v>1</v>
      </c>
      <c r="C20" s="17" t="s">
        <v>42</v>
      </c>
      <c r="D20" s="135" t="s">
        <v>73</v>
      </c>
      <c r="E20" s="135" t="s">
        <v>72</v>
      </c>
      <c r="F20" s="136" t="s">
        <v>61</v>
      </c>
      <c r="G20" s="22" t="s">
        <v>91</v>
      </c>
      <c r="H20" s="22" t="s">
        <v>92</v>
      </c>
      <c r="I20" s="7" t="s">
        <v>60</v>
      </c>
      <c r="J20" s="7" t="s">
        <v>62</v>
      </c>
      <c r="K20" s="49" t="s">
        <v>93</v>
      </c>
      <c r="L20" s="49" t="s">
        <v>75</v>
      </c>
      <c r="M20" s="49" t="s">
        <v>74</v>
      </c>
    </row>
    <row r="21" spans="1:13" ht="15.75">
      <c r="A21" s="17">
        <v>1</v>
      </c>
      <c r="B21" s="133" t="s">
        <v>81</v>
      </c>
      <c r="C21" s="108" t="s">
        <v>43</v>
      </c>
      <c r="D21" s="47">
        <v>2.5</v>
      </c>
      <c r="E21" s="47">
        <v>3.5</v>
      </c>
      <c r="F21" s="47">
        <v>2.2000000000000002</v>
      </c>
      <c r="G21" s="139">
        <f>AVERAGE(D21:F21)</f>
        <v>2.7333333333333329</v>
      </c>
      <c r="H21" s="17">
        <f>MIN(D21:F21)</f>
        <v>2.2000000000000002</v>
      </c>
      <c r="I21" s="17">
        <v>3</v>
      </c>
      <c r="J21" s="44">
        <f>I21/H21</f>
        <v>1.3636363636363635</v>
      </c>
      <c r="K21" s="17">
        <f>AVERAGE(H21:H30)</f>
        <v>2.3899999999999997</v>
      </c>
      <c r="L21" s="17">
        <f>AVERAGE(I21:I30)</f>
        <v>3.8</v>
      </c>
      <c r="M21" s="140">
        <f>AVERAGE(J21:J30)</f>
        <v>1.7498463792866903</v>
      </c>
    </row>
    <row r="22" spans="1:13" ht="15.75">
      <c r="A22" s="17">
        <v>2</v>
      </c>
      <c r="B22" s="133" t="s">
        <v>82</v>
      </c>
      <c r="C22" s="108" t="s">
        <v>43</v>
      </c>
      <c r="D22" s="47">
        <v>3.3</v>
      </c>
      <c r="E22" s="47">
        <v>2.9</v>
      </c>
      <c r="F22" s="47">
        <v>3.5</v>
      </c>
      <c r="G22" s="139">
        <f t="shared" ref="G22:G30" si="3">AVERAGE(D22:F22)</f>
        <v>3.2333333333333329</v>
      </c>
      <c r="H22" s="17">
        <f t="shared" ref="H22:H30" si="4">MIN(D22:F22)</f>
        <v>2.9</v>
      </c>
      <c r="I22" s="17">
        <v>3</v>
      </c>
      <c r="J22" s="44">
        <f t="shared" ref="J22:J30" si="5">I22/H22</f>
        <v>1.0344827586206897</v>
      </c>
      <c r="K22" s="34"/>
      <c r="L22" s="34"/>
      <c r="M22" s="34"/>
    </row>
    <row r="23" spans="1:13" ht="15.75">
      <c r="A23" s="17">
        <v>3</v>
      </c>
      <c r="B23" s="133" t="s">
        <v>83</v>
      </c>
      <c r="C23" s="108" t="s">
        <v>43</v>
      </c>
      <c r="D23" s="47">
        <v>3.6</v>
      </c>
      <c r="E23" s="47">
        <v>3.4</v>
      </c>
      <c r="F23" s="47">
        <v>2.8</v>
      </c>
      <c r="G23" s="139">
        <f t="shared" si="3"/>
        <v>3.2666666666666671</v>
      </c>
      <c r="H23" s="17">
        <f t="shared" si="4"/>
        <v>2.8</v>
      </c>
      <c r="I23" s="17">
        <v>3</v>
      </c>
      <c r="J23" s="44">
        <f t="shared" si="5"/>
        <v>1.0714285714285714</v>
      </c>
      <c r="K23" s="34"/>
      <c r="L23" s="34"/>
      <c r="M23" s="34"/>
    </row>
    <row r="24" spans="1:13" ht="15.75">
      <c r="A24" s="17">
        <v>4</v>
      </c>
      <c r="B24" s="133" t="s">
        <v>84</v>
      </c>
      <c r="C24" s="108" t="s">
        <v>43</v>
      </c>
      <c r="D24" s="47">
        <v>2.6</v>
      </c>
      <c r="E24" s="47">
        <v>2.1</v>
      </c>
      <c r="F24" s="47">
        <v>3.5</v>
      </c>
      <c r="G24" s="139">
        <f t="shared" si="3"/>
        <v>2.7333333333333329</v>
      </c>
      <c r="H24" s="17">
        <f t="shared" si="4"/>
        <v>2.1</v>
      </c>
      <c r="I24" s="17">
        <v>4</v>
      </c>
      <c r="J24" s="44">
        <f t="shared" si="5"/>
        <v>1.9047619047619047</v>
      </c>
      <c r="K24" s="34"/>
      <c r="L24" s="34"/>
      <c r="M24" s="34"/>
    </row>
    <row r="25" spans="1:13" ht="15.75">
      <c r="A25" s="17">
        <v>5</v>
      </c>
      <c r="B25" s="133" t="s">
        <v>85</v>
      </c>
      <c r="C25" s="108" t="s">
        <v>43</v>
      </c>
      <c r="D25" s="47">
        <v>2.2999999999999998</v>
      </c>
      <c r="E25" s="47">
        <v>2.5</v>
      </c>
      <c r="F25" s="47">
        <v>2.9</v>
      </c>
      <c r="G25" s="139">
        <f t="shared" si="3"/>
        <v>2.5666666666666664</v>
      </c>
      <c r="H25" s="17">
        <f t="shared" si="4"/>
        <v>2.2999999999999998</v>
      </c>
      <c r="I25" s="17">
        <v>4</v>
      </c>
      <c r="J25" s="44">
        <f t="shared" si="5"/>
        <v>1.7391304347826089</v>
      </c>
      <c r="K25" s="34"/>
      <c r="L25" s="34"/>
      <c r="M25" s="34"/>
    </row>
    <row r="26" spans="1:13" ht="15.75">
      <c r="A26" s="17">
        <v>6</v>
      </c>
      <c r="B26" s="133" t="s">
        <v>86</v>
      </c>
      <c r="C26" s="108" t="s">
        <v>43</v>
      </c>
      <c r="D26" s="47">
        <v>3.6</v>
      </c>
      <c r="E26" s="47">
        <v>3.5</v>
      </c>
      <c r="F26" s="47">
        <v>3.4</v>
      </c>
      <c r="G26" s="139">
        <f t="shared" si="3"/>
        <v>3.5</v>
      </c>
      <c r="H26" s="17">
        <f t="shared" si="4"/>
        <v>3.4</v>
      </c>
      <c r="I26" s="17">
        <v>3</v>
      </c>
      <c r="J26" s="44">
        <f t="shared" si="5"/>
        <v>0.88235294117647056</v>
      </c>
      <c r="K26" s="34"/>
      <c r="L26" s="34"/>
      <c r="M26" s="34"/>
    </row>
    <row r="27" spans="1:13" ht="15.75">
      <c r="A27" s="17">
        <v>7</v>
      </c>
      <c r="B27" s="133" t="s">
        <v>87</v>
      </c>
      <c r="C27" s="108" t="s">
        <v>43</v>
      </c>
      <c r="D27" s="47">
        <v>3</v>
      </c>
      <c r="E27" s="47">
        <v>1.9</v>
      </c>
      <c r="F27" s="47">
        <v>2.2000000000000002</v>
      </c>
      <c r="G27" s="139">
        <f t="shared" si="3"/>
        <v>2.3666666666666667</v>
      </c>
      <c r="H27" s="17">
        <f t="shared" si="4"/>
        <v>1.9</v>
      </c>
      <c r="I27" s="17">
        <v>5</v>
      </c>
      <c r="J27" s="44">
        <f t="shared" si="5"/>
        <v>2.6315789473684212</v>
      </c>
      <c r="K27" s="34"/>
      <c r="L27" s="34"/>
      <c r="M27" s="34"/>
    </row>
    <row r="28" spans="1:13" ht="15.75">
      <c r="A28" s="17">
        <v>8</v>
      </c>
      <c r="B28" s="133" t="s">
        <v>88</v>
      </c>
      <c r="C28" s="108" t="s">
        <v>43</v>
      </c>
      <c r="D28" s="47">
        <v>2.2000000000000002</v>
      </c>
      <c r="E28" s="47">
        <v>2.5</v>
      </c>
      <c r="F28" s="47">
        <v>2.8</v>
      </c>
      <c r="G28" s="139">
        <f t="shared" si="3"/>
        <v>2.5</v>
      </c>
      <c r="H28" s="17">
        <f t="shared" si="4"/>
        <v>2.2000000000000002</v>
      </c>
      <c r="I28" s="17">
        <v>4</v>
      </c>
      <c r="J28" s="44">
        <f t="shared" si="5"/>
        <v>1.8181818181818181</v>
      </c>
      <c r="K28" s="34"/>
      <c r="L28" s="34"/>
      <c r="M28" s="34"/>
    </row>
    <row r="29" spans="1:13" ht="15.75">
      <c r="A29" s="17">
        <v>9</v>
      </c>
      <c r="B29" s="133" t="s">
        <v>89</v>
      </c>
      <c r="C29" s="108" t="s">
        <v>43</v>
      </c>
      <c r="D29" s="47">
        <v>2.7</v>
      </c>
      <c r="E29" s="47">
        <v>3.1</v>
      </c>
      <c r="F29" s="47">
        <v>3.5</v>
      </c>
      <c r="G29" s="139">
        <f t="shared" si="3"/>
        <v>3.1</v>
      </c>
      <c r="H29" s="17">
        <f t="shared" si="4"/>
        <v>2.7</v>
      </c>
      <c r="I29" s="17">
        <v>4</v>
      </c>
      <c r="J29" s="44">
        <f t="shared" si="5"/>
        <v>1.4814814814814814</v>
      </c>
      <c r="K29" s="34"/>
      <c r="L29" s="34"/>
      <c r="M29" s="34"/>
    </row>
    <row r="30" spans="1:13" ht="15.75">
      <c r="A30" s="17">
        <v>10</v>
      </c>
      <c r="B30" s="134" t="s">
        <v>90</v>
      </c>
      <c r="C30" s="108" t="s">
        <v>43</v>
      </c>
      <c r="D30" s="47">
        <v>2.2000000000000002</v>
      </c>
      <c r="E30" s="47">
        <v>3.5</v>
      </c>
      <c r="F30" s="47">
        <v>1.4</v>
      </c>
      <c r="G30" s="139">
        <f t="shared" si="3"/>
        <v>2.3666666666666667</v>
      </c>
      <c r="H30" s="17">
        <f t="shared" si="4"/>
        <v>1.4</v>
      </c>
      <c r="I30" s="17">
        <v>5</v>
      </c>
      <c r="J30" s="44">
        <f t="shared" si="5"/>
        <v>3.5714285714285716</v>
      </c>
      <c r="K30" s="34"/>
      <c r="L30" s="34"/>
      <c r="M30" s="34"/>
    </row>
  </sheetData>
  <mergeCells count="2">
    <mergeCell ref="A1:J1"/>
    <mergeCell ref="A19:J19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8"/>
  <sheetViews>
    <sheetView topLeftCell="A40" zoomScale="77" workbookViewId="0">
      <selection activeCell="B59" sqref="B59:K59"/>
    </sheetView>
  </sheetViews>
  <sheetFormatPr defaultColWidth="8.7109375" defaultRowHeight="15"/>
  <cols>
    <col min="1" max="1" width="20.7109375" style="1" customWidth="1"/>
    <col min="2" max="2" width="13.140625" style="1" customWidth="1"/>
    <col min="3" max="3" width="13.42578125" style="1" bestFit="1" customWidth="1"/>
    <col min="4" max="4" width="17.140625" style="1" bestFit="1" customWidth="1"/>
    <col min="5" max="5" width="15.28515625" style="1" bestFit="1" customWidth="1"/>
    <col min="6" max="6" width="14.7109375" style="1" customWidth="1"/>
    <col min="7" max="7" width="13.42578125" style="1" customWidth="1"/>
    <col min="8" max="8" width="15.140625" style="1" bestFit="1" customWidth="1"/>
    <col min="9" max="9" width="11.5703125" style="1" bestFit="1" customWidth="1"/>
    <col min="10" max="10" width="14.140625" style="1" bestFit="1" customWidth="1"/>
    <col min="11" max="11" width="12.140625" style="1" customWidth="1"/>
    <col min="12" max="12" width="20.42578125" style="1" customWidth="1"/>
    <col min="13" max="13" width="13.85546875" style="1" customWidth="1"/>
    <col min="14" max="14" width="8.7109375" style="1"/>
    <col min="15" max="15" width="18.42578125" style="1" customWidth="1"/>
    <col min="16" max="16" width="18.85546875" style="1" customWidth="1"/>
    <col min="17" max="16384" width="8.7109375" style="1"/>
  </cols>
  <sheetData>
    <row r="1" spans="1:24" ht="48" customHeight="1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180"/>
    </row>
    <row r="2" spans="1:24" ht="53.25" customHeight="1">
      <c r="A2" s="7" t="s">
        <v>20</v>
      </c>
      <c r="B2" s="7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8" t="s">
        <v>15</v>
      </c>
      <c r="K2" s="8" t="s">
        <v>16</v>
      </c>
      <c r="L2" s="15" t="s">
        <v>39</v>
      </c>
      <c r="M2" s="125" t="s">
        <v>64</v>
      </c>
      <c r="N2" s="126" t="s">
        <v>65</v>
      </c>
      <c r="O2" s="120" t="s">
        <v>69</v>
      </c>
      <c r="P2" s="121" t="s">
        <v>68</v>
      </c>
    </row>
    <row r="3" spans="1:24" ht="15.75">
      <c r="A3" s="2" t="s">
        <v>19</v>
      </c>
      <c r="B3" s="2">
        <v>1</v>
      </c>
      <c r="C3" s="9">
        <v>1</v>
      </c>
      <c r="D3" s="9" t="s">
        <v>18</v>
      </c>
      <c r="E3" s="9">
        <v>1</v>
      </c>
      <c r="F3" s="9">
        <v>1</v>
      </c>
      <c r="G3" s="9"/>
      <c r="H3" s="9">
        <v>1</v>
      </c>
      <c r="I3" s="9">
        <v>1</v>
      </c>
      <c r="J3" s="9">
        <v>1</v>
      </c>
      <c r="K3" s="9">
        <v>1</v>
      </c>
      <c r="L3" s="12">
        <f>SUM(B3:K3)</f>
        <v>8</v>
      </c>
      <c r="M3" s="127">
        <f>L3/$L$21</f>
        <v>0.10256410256410256</v>
      </c>
      <c r="N3" s="128">
        <f>M3*LN(M3)</f>
        <v>-0.23356587538561599</v>
      </c>
      <c r="O3" s="112">
        <f>-SUM(N3:N20)</f>
        <v>2.6230107084573762</v>
      </c>
      <c r="P3" s="122">
        <f>O3/$N$21</f>
        <v>0.90749942504510406</v>
      </c>
    </row>
    <row r="4" spans="1:24" ht="15.75">
      <c r="A4" s="2" t="s">
        <v>21</v>
      </c>
      <c r="B4" s="2">
        <v>1</v>
      </c>
      <c r="C4" s="9">
        <v>1</v>
      </c>
      <c r="D4" s="9">
        <v>1</v>
      </c>
      <c r="E4" s="9"/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12">
        <f t="shared" ref="L4:L20" si="0">SUM(B4:K4)</f>
        <v>9</v>
      </c>
      <c r="M4" s="127">
        <f t="shared" ref="M4:M20" si="1">L4/$L$21</f>
        <v>0.11538461538461539</v>
      </c>
      <c r="N4" s="128">
        <f>M4*LN(M4)</f>
        <v>-0.24917125954077371</v>
      </c>
      <c r="O4" s="181" t="s">
        <v>96</v>
      </c>
      <c r="P4" s="182"/>
    </row>
    <row r="5" spans="1:24" ht="47.25" customHeight="1">
      <c r="A5" s="2" t="s">
        <v>35</v>
      </c>
      <c r="B5" s="2"/>
      <c r="C5" s="9"/>
      <c r="D5" s="9"/>
      <c r="E5" s="9"/>
      <c r="F5" s="9"/>
      <c r="G5" s="9"/>
      <c r="H5" s="9"/>
      <c r="I5" s="9"/>
      <c r="J5" s="9">
        <v>1</v>
      </c>
      <c r="K5" s="9"/>
      <c r="L5" s="12">
        <f t="shared" si="0"/>
        <v>1</v>
      </c>
      <c r="M5" s="127">
        <f t="shared" si="1"/>
        <v>1.282051282051282E-2</v>
      </c>
      <c r="N5" s="128">
        <f t="shared" ref="N5:N19" si="2">M5*LN(M5)</f>
        <v>-5.5855241367815278E-2</v>
      </c>
      <c r="O5" s="183"/>
      <c r="P5" s="184"/>
      <c r="Q5" s="185" t="s">
        <v>66</v>
      </c>
      <c r="R5" s="185"/>
      <c r="S5" s="185"/>
      <c r="T5" s="185"/>
      <c r="U5" s="185"/>
      <c r="V5" s="185"/>
      <c r="W5" s="28"/>
      <c r="X5" s="28"/>
    </row>
    <row r="6" spans="1:24" ht="15.75" customHeight="1">
      <c r="A6" s="2" t="s">
        <v>22</v>
      </c>
      <c r="B6" s="2">
        <v>1</v>
      </c>
      <c r="C6" s="9">
        <v>1</v>
      </c>
      <c r="D6" s="9">
        <v>1</v>
      </c>
      <c r="E6" s="9"/>
      <c r="F6" s="9">
        <v>1</v>
      </c>
      <c r="G6" s="9">
        <v>1</v>
      </c>
      <c r="H6" s="9"/>
      <c r="I6" s="9">
        <v>1</v>
      </c>
      <c r="J6" s="9">
        <v>1</v>
      </c>
      <c r="K6" s="9">
        <v>1</v>
      </c>
      <c r="L6" s="12">
        <f>SUM(B6:K6)</f>
        <v>8</v>
      </c>
      <c r="M6" s="127">
        <f t="shared" si="1"/>
        <v>0.10256410256410256</v>
      </c>
      <c r="N6" s="128">
        <f t="shared" si="2"/>
        <v>-0.23356587538561599</v>
      </c>
      <c r="O6" s="183"/>
      <c r="P6" s="184"/>
      <c r="Q6" s="185"/>
      <c r="R6" s="185"/>
      <c r="S6" s="185"/>
      <c r="T6" s="185"/>
      <c r="U6" s="185"/>
      <c r="V6" s="185"/>
      <c r="W6" s="28"/>
      <c r="X6" s="28"/>
    </row>
    <row r="7" spans="1:24" ht="15.75" customHeight="1">
      <c r="A7" s="2" t="s">
        <v>32</v>
      </c>
      <c r="B7" s="2"/>
      <c r="C7" s="9">
        <v>1</v>
      </c>
      <c r="D7" s="9">
        <v>1</v>
      </c>
      <c r="E7" s="9">
        <v>1</v>
      </c>
      <c r="F7" s="9"/>
      <c r="G7" s="9">
        <v>1</v>
      </c>
      <c r="H7" s="9">
        <v>1</v>
      </c>
      <c r="I7" s="9">
        <v>1</v>
      </c>
      <c r="J7" s="9">
        <v>1</v>
      </c>
      <c r="K7" s="9"/>
      <c r="L7" s="12">
        <f t="shared" si="0"/>
        <v>7</v>
      </c>
      <c r="M7" s="127">
        <f t="shared" si="1"/>
        <v>8.9743589743589744E-2</v>
      </c>
      <c r="N7" s="128">
        <f t="shared" si="2"/>
        <v>-0.21635372747999934</v>
      </c>
      <c r="O7" s="183"/>
      <c r="P7" s="184"/>
      <c r="Q7" s="185"/>
      <c r="R7" s="185"/>
      <c r="S7" s="185"/>
      <c r="T7" s="185"/>
      <c r="U7" s="185"/>
      <c r="V7" s="185"/>
      <c r="W7" s="28"/>
      <c r="X7" s="28"/>
    </row>
    <row r="8" spans="1:24" ht="15.75">
      <c r="A8" s="2" t="s">
        <v>23</v>
      </c>
      <c r="B8" s="2">
        <v>1</v>
      </c>
      <c r="C8" s="9">
        <v>1</v>
      </c>
      <c r="D8" s="9">
        <v>1</v>
      </c>
      <c r="E8" s="9">
        <v>1</v>
      </c>
      <c r="F8" s="9">
        <v>1</v>
      </c>
      <c r="G8" s="9">
        <v>1</v>
      </c>
      <c r="H8" s="9"/>
      <c r="I8" s="9"/>
      <c r="J8" s="9"/>
      <c r="K8" s="9">
        <v>1</v>
      </c>
      <c r="L8" s="12">
        <f t="shared" si="0"/>
        <v>7</v>
      </c>
      <c r="M8" s="127">
        <f t="shared" si="1"/>
        <v>8.9743589743589744E-2</v>
      </c>
      <c r="N8" s="128">
        <f t="shared" si="2"/>
        <v>-0.21635372747999934</v>
      </c>
      <c r="O8" s="30"/>
      <c r="P8" s="31"/>
      <c r="Q8" s="185"/>
      <c r="R8" s="185"/>
      <c r="S8" s="185"/>
      <c r="T8" s="185"/>
      <c r="U8" s="185"/>
      <c r="V8" s="185"/>
      <c r="W8" s="28"/>
      <c r="X8" s="28"/>
    </row>
    <row r="9" spans="1:24" ht="15.75">
      <c r="A9" s="2" t="s">
        <v>24</v>
      </c>
      <c r="B9" s="2">
        <v>1</v>
      </c>
      <c r="C9" s="9">
        <v>1</v>
      </c>
      <c r="D9" s="9">
        <v>1</v>
      </c>
      <c r="E9" s="9">
        <v>1</v>
      </c>
      <c r="F9" s="9">
        <v>1</v>
      </c>
      <c r="G9" s="9">
        <v>1</v>
      </c>
      <c r="H9" s="9">
        <v>1</v>
      </c>
      <c r="I9" s="9"/>
      <c r="J9" s="9"/>
      <c r="K9" s="9">
        <v>1</v>
      </c>
      <c r="L9" s="12">
        <f t="shared" si="0"/>
        <v>8</v>
      </c>
      <c r="M9" s="127">
        <f t="shared" si="1"/>
        <v>0.10256410256410256</v>
      </c>
      <c r="N9" s="128">
        <f t="shared" si="2"/>
        <v>-0.23356587538561599</v>
      </c>
      <c r="O9" s="30"/>
      <c r="P9" s="31"/>
      <c r="Q9" s="185"/>
      <c r="R9" s="185"/>
      <c r="S9" s="185"/>
      <c r="T9" s="185"/>
      <c r="U9" s="185"/>
      <c r="V9" s="185"/>
      <c r="W9" s="28"/>
      <c r="X9" s="28"/>
    </row>
    <row r="10" spans="1:24" ht="15.75">
      <c r="A10" s="2" t="s">
        <v>25</v>
      </c>
      <c r="B10" s="2">
        <v>1</v>
      </c>
      <c r="C10" s="9"/>
      <c r="D10" s="9"/>
      <c r="E10" s="9"/>
      <c r="F10" s="9"/>
      <c r="G10" s="9"/>
      <c r="H10" s="9"/>
      <c r="I10" s="9"/>
      <c r="J10" s="9"/>
      <c r="K10" s="9"/>
      <c r="L10" s="12">
        <f t="shared" si="0"/>
        <v>1</v>
      </c>
      <c r="M10" s="127">
        <f t="shared" si="1"/>
        <v>1.282051282051282E-2</v>
      </c>
      <c r="N10" s="128">
        <f t="shared" si="2"/>
        <v>-5.5855241367815278E-2</v>
      </c>
      <c r="O10" s="30"/>
      <c r="P10" s="31"/>
      <c r="Q10" s="28"/>
      <c r="R10" s="28"/>
      <c r="S10" s="28"/>
      <c r="T10" s="28"/>
      <c r="U10" s="28"/>
      <c r="V10" s="28"/>
      <c r="W10" s="28"/>
      <c r="X10" s="28"/>
    </row>
    <row r="11" spans="1:24" ht="31.5">
      <c r="A11" s="2" t="s">
        <v>26</v>
      </c>
      <c r="B11" s="2">
        <v>1</v>
      </c>
      <c r="C11" s="9">
        <v>1</v>
      </c>
      <c r="D11" s="9">
        <v>1</v>
      </c>
      <c r="E11" s="9"/>
      <c r="F11" s="9"/>
      <c r="G11" s="9"/>
      <c r="H11" s="9"/>
      <c r="I11" s="9"/>
      <c r="J11" s="9">
        <v>1</v>
      </c>
      <c r="K11" s="9"/>
      <c r="L11" s="12">
        <f t="shared" si="0"/>
        <v>4</v>
      </c>
      <c r="M11" s="127">
        <f t="shared" si="1"/>
        <v>5.128205128205128E-2</v>
      </c>
      <c r="N11" s="128">
        <f t="shared" si="2"/>
        <v>-0.15232894695229238</v>
      </c>
      <c r="O11" s="30"/>
      <c r="P11" s="31"/>
      <c r="Q11" s="28"/>
      <c r="R11" s="28"/>
      <c r="S11" s="28"/>
      <c r="T11" s="28"/>
      <c r="U11" s="28"/>
      <c r="V11" s="28"/>
      <c r="W11" s="28"/>
      <c r="X11" s="28"/>
    </row>
    <row r="12" spans="1:24" ht="15.75">
      <c r="A12" s="2" t="s">
        <v>27</v>
      </c>
      <c r="B12" s="2">
        <v>1</v>
      </c>
      <c r="C12" s="9"/>
      <c r="D12" s="9"/>
      <c r="E12" s="9">
        <v>1</v>
      </c>
      <c r="F12" s="9">
        <v>1</v>
      </c>
      <c r="G12" s="9"/>
      <c r="H12" s="9"/>
      <c r="I12" s="9">
        <v>1</v>
      </c>
      <c r="J12" s="9"/>
      <c r="K12" s="9">
        <v>1</v>
      </c>
      <c r="L12" s="12">
        <f t="shared" si="0"/>
        <v>5</v>
      </c>
      <c r="M12" s="127">
        <f t="shared" si="1"/>
        <v>6.4102564102564097E-2</v>
      </c>
      <c r="N12" s="128">
        <f t="shared" si="2"/>
        <v>-0.17610710988817252</v>
      </c>
      <c r="O12" s="30"/>
      <c r="P12" s="31"/>
      <c r="Q12" s="28"/>
      <c r="R12" s="28"/>
      <c r="S12" s="28"/>
      <c r="T12" s="28"/>
      <c r="U12" s="28"/>
      <c r="V12" s="28"/>
      <c r="W12" s="28"/>
      <c r="X12" s="28"/>
    </row>
    <row r="13" spans="1:24" ht="15.75">
      <c r="A13" s="2" t="s">
        <v>28</v>
      </c>
      <c r="B13" s="2"/>
      <c r="C13" s="9">
        <v>1</v>
      </c>
      <c r="D13" s="9">
        <v>1</v>
      </c>
      <c r="E13" s="9">
        <v>1</v>
      </c>
      <c r="F13" s="9">
        <v>1</v>
      </c>
      <c r="G13" s="9"/>
      <c r="H13" s="9">
        <v>1</v>
      </c>
      <c r="I13" s="9"/>
      <c r="J13" s="9">
        <v>1</v>
      </c>
      <c r="K13" s="9">
        <v>1</v>
      </c>
      <c r="L13" s="12">
        <f t="shared" si="0"/>
        <v>7</v>
      </c>
      <c r="M13" s="127">
        <f t="shared" si="1"/>
        <v>8.9743589743589744E-2</v>
      </c>
      <c r="N13" s="128">
        <f t="shared" si="2"/>
        <v>-0.21635372747999934</v>
      </c>
      <c r="O13" s="30"/>
      <c r="P13" s="31"/>
      <c r="Q13" s="28"/>
      <c r="R13" s="28"/>
      <c r="S13" s="28"/>
      <c r="T13" s="28"/>
      <c r="U13" s="28"/>
      <c r="V13" s="28"/>
      <c r="W13" s="28"/>
      <c r="X13" s="28"/>
    </row>
    <row r="14" spans="1:24" ht="31.5">
      <c r="A14" s="10" t="s">
        <v>30</v>
      </c>
      <c r="B14" s="2"/>
      <c r="C14" s="9">
        <v>1</v>
      </c>
      <c r="D14" s="9"/>
      <c r="E14" s="9"/>
      <c r="F14" s="9"/>
      <c r="G14" s="9"/>
      <c r="H14" s="9">
        <v>1</v>
      </c>
      <c r="I14" s="9">
        <v>1</v>
      </c>
      <c r="J14" s="9"/>
      <c r="K14" s="9">
        <v>1</v>
      </c>
      <c r="L14" s="12">
        <f t="shared" si="0"/>
        <v>4</v>
      </c>
      <c r="M14" s="127">
        <f t="shared" si="1"/>
        <v>5.128205128205128E-2</v>
      </c>
      <c r="N14" s="128">
        <f t="shared" si="2"/>
        <v>-0.15232894695229238</v>
      </c>
      <c r="O14" s="30"/>
      <c r="P14" s="31"/>
      <c r="Q14" s="28"/>
      <c r="R14" s="28"/>
      <c r="S14" s="28"/>
      <c r="T14" s="28"/>
      <c r="U14" s="28"/>
      <c r="V14" s="28"/>
      <c r="W14" s="28"/>
      <c r="X14" s="28"/>
    </row>
    <row r="15" spans="1:24" ht="47.25">
      <c r="A15" s="2" t="s">
        <v>36</v>
      </c>
      <c r="B15" s="2"/>
      <c r="C15" s="9"/>
      <c r="D15" s="9"/>
      <c r="E15" s="9"/>
      <c r="F15" s="9"/>
      <c r="G15" s="9">
        <v>1</v>
      </c>
      <c r="H15" s="9"/>
      <c r="I15" s="9"/>
      <c r="J15" s="9"/>
      <c r="K15" s="9"/>
      <c r="L15" s="12">
        <f t="shared" si="0"/>
        <v>1</v>
      </c>
      <c r="M15" s="127">
        <f t="shared" si="1"/>
        <v>1.282051282051282E-2</v>
      </c>
      <c r="N15" s="128">
        <f t="shared" si="2"/>
        <v>-5.5855241367815278E-2</v>
      </c>
      <c r="O15" s="30"/>
      <c r="P15" s="31"/>
    </row>
    <row r="16" spans="1:24" ht="31.5">
      <c r="A16" s="2" t="s">
        <v>37</v>
      </c>
      <c r="B16" s="2"/>
      <c r="C16" s="9"/>
      <c r="D16" s="9"/>
      <c r="E16" s="9"/>
      <c r="F16" s="9"/>
      <c r="G16" s="9"/>
      <c r="H16" s="9"/>
      <c r="I16" s="9"/>
      <c r="J16" s="9"/>
      <c r="K16" s="9">
        <v>1</v>
      </c>
      <c r="L16" s="12">
        <f t="shared" si="0"/>
        <v>1</v>
      </c>
      <c r="M16" s="127">
        <f t="shared" si="1"/>
        <v>1.282051282051282E-2</v>
      </c>
      <c r="N16" s="128">
        <f t="shared" si="2"/>
        <v>-5.5855241367815278E-2</v>
      </c>
      <c r="O16" s="30"/>
      <c r="P16" s="31"/>
    </row>
    <row r="17" spans="1:16" ht="31.5">
      <c r="A17" s="2" t="s">
        <v>33</v>
      </c>
      <c r="B17" s="2"/>
      <c r="C17" s="9"/>
      <c r="D17" s="9"/>
      <c r="E17" s="9"/>
      <c r="F17" s="9"/>
      <c r="G17" s="9">
        <v>1</v>
      </c>
      <c r="H17" s="9"/>
      <c r="I17" s="9"/>
      <c r="J17" s="9"/>
      <c r="K17" s="9"/>
      <c r="L17" s="12">
        <f t="shared" si="0"/>
        <v>1</v>
      </c>
      <c r="M17" s="127">
        <f t="shared" si="1"/>
        <v>1.282051282051282E-2</v>
      </c>
      <c r="N17" s="128">
        <f t="shared" si="2"/>
        <v>-5.5855241367815278E-2</v>
      </c>
      <c r="O17" s="30"/>
      <c r="P17" s="31"/>
    </row>
    <row r="18" spans="1:16" ht="15.75">
      <c r="A18" s="2" t="s">
        <v>29</v>
      </c>
      <c r="B18" s="2"/>
      <c r="C18" s="9"/>
      <c r="D18" s="9"/>
      <c r="E18" s="9"/>
      <c r="F18" s="9">
        <v>1</v>
      </c>
      <c r="G18" s="9">
        <v>1</v>
      </c>
      <c r="H18" s="9"/>
      <c r="I18" s="9"/>
      <c r="J18" s="9">
        <v>1</v>
      </c>
      <c r="K18" s="9">
        <v>1</v>
      </c>
      <c r="L18" s="12">
        <f t="shared" si="0"/>
        <v>4</v>
      </c>
      <c r="M18" s="127">
        <f t="shared" si="1"/>
        <v>5.128205128205128E-2</v>
      </c>
      <c r="N18" s="128">
        <f t="shared" si="2"/>
        <v>-0.15232894695229238</v>
      </c>
      <c r="O18" s="30"/>
      <c r="P18" s="31"/>
    </row>
    <row r="19" spans="1:16" ht="15.75">
      <c r="A19" s="2" t="s">
        <v>31</v>
      </c>
      <c r="B19" s="2"/>
      <c r="C19" s="9"/>
      <c r="D19" s="9"/>
      <c r="E19" s="9"/>
      <c r="F19" s="9">
        <v>1</v>
      </c>
      <c r="G19" s="9"/>
      <c r="H19" s="9"/>
      <c r="I19" s="9"/>
      <c r="J19" s="9"/>
      <c r="K19" s="9"/>
      <c r="L19" s="12">
        <f t="shared" si="0"/>
        <v>1</v>
      </c>
      <c r="M19" s="127">
        <f t="shared" si="1"/>
        <v>1.282051282051282E-2</v>
      </c>
      <c r="N19" s="128">
        <f t="shared" si="2"/>
        <v>-5.5855241367815278E-2</v>
      </c>
      <c r="O19" s="30"/>
      <c r="P19" s="31"/>
    </row>
    <row r="20" spans="1:16" ht="47.25">
      <c r="A20" s="2" t="s">
        <v>34</v>
      </c>
      <c r="B20" s="2"/>
      <c r="C20" s="9"/>
      <c r="D20" s="9"/>
      <c r="E20" s="9"/>
      <c r="F20" s="9"/>
      <c r="G20" s="9"/>
      <c r="H20" s="9"/>
      <c r="I20" s="9"/>
      <c r="J20" s="9">
        <v>1</v>
      </c>
      <c r="K20" s="9"/>
      <c r="L20" s="12">
        <f t="shared" si="0"/>
        <v>1</v>
      </c>
      <c r="M20" s="127">
        <f t="shared" si="1"/>
        <v>1.282051282051282E-2</v>
      </c>
      <c r="N20" s="129">
        <f>M20*LN(M20)</f>
        <v>-5.5855241367815278E-2</v>
      </c>
      <c r="O20" s="30"/>
      <c r="P20" s="31"/>
    </row>
    <row r="21" spans="1:16" ht="47.25">
      <c r="A21" s="11" t="s">
        <v>38</v>
      </c>
      <c r="B21" s="11">
        <f t="shared" ref="B21:K21" si="3">SUM(B3:B20)</f>
        <v>8</v>
      </c>
      <c r="C21" s="11">
        <f t="shared" si="3"/>
        <v>9</v>
      </c>
      <c r="D21" s="11">
        <f t="shared" si="3"/>
        <v>7</v>
      </c>
      <c r="E21" s="11">
        <f t="shared" si="3"/>
        <v>6</v>
      </c>
      <c r="F21" s="11">
        <f t="shared" si="3"/>
        <v>9</v>
      </c>
      <c r="G21" s="11">
        <f t="shared" si="3"/>
        <v>8</v>
      </c>
      <c r="H21" s="11">
        <f t="shared" si="3"/>
        <v>6</v>
      </c>
      <c r="I21" s="11">
        <f t="shared" si="3"/>
        <v>6</v>
      </c>
      <c r="J21" s="11">
        <f t="shared" si="3"/>
        <v>9</v>
      </c>
      <c r="K21" s="11">
        <f t="shared" si="3"/>
        <v>10</v>
      </c>
      <c r="L21" s="29">
        <f>SUM(L3:L20)</f>
        <v>78</v>
      </c>
      <c r="M21" s="123" t="s">
        <v>67</v>
      </c>
      <c r="N21" s="124">
        <f>LN(B23)</f>
        <v>2.8903717578961645</v>
      </c>
    </row>
    <row r="22" spans="1:16" ht="27.75" customHeight="1">
      <c r="A22" s="6"/>
      <c r="B22" s="6"/>
    </row>
    <row r="23" spans="1:16" ht="47.25">
      <c r="A23" s="5" t="s">
        <v>71</v>
      </c>
      <c r="B23" s="5">
        <f>COUNTA(A3:A20)</f>
        <v>18</v>
      </c>
    </row>
    <row r="24" spans="1:16" ht="15.75">
      <c r="A24" s="6"/>
      <c r="B24" s="6"/>
    </row>
    <row r="25" spans="1:16" ht="51.75">
      <c r="A25" s="26" t="s">
        <v>63</v>
      </c>
      <c r="B25" s="163"/>
      <c r="C25" s="163"/>
      <c r="D25" s="163"/>
      <c r="E25" s="27">
        <f>SUM(B21:K21)/10</f>
        <v>7.8</v>
      </c>
    </row>
    <row r="26" spans="1:16" ht="56.25">
      <c r="A26" s="32" t="s">
        <v>70</v>
      </c>
      <c r="B26" s="33">
        <f>B23/E25</f>
        <v>2.3076923076923079</v>
      </c>
      <c r="C26" s="25"/>
      <c r="D26" s="25"/>
      <c r="E26" s="25"/>
      <c r="F26" s="25"/>
      <c r="G26" s="25"/>
      <c r="H26" s="25"/>
      <c r="I26" s="25"/>
      <c r="J26" s="25"/>
      <c r="K26" s="25"/>
    </row>
    <row r="27" spans="1:16" ht="15.75">
      <c r="A27" s="6"/>
      <c r="B27" s="6"/>
    </row>
    <row r="28" spans="1:16" ht="15.75">
      <c r="A28" s="6"/>
      <c r="B28" s="6"/>
    </row>
    <row r="29" spans="1:16" ht="15.75">
      <c r="A29" s="6"/>
      <c r="B29" s="6"/>
    </row>
    <row r="30" spans="1:16" ht="15.75">
      <c r="A30" s="6"/>
      <c r="B30" s="6"/>
    </row>
    <row r="31" spans="1:16" ht="15.75">
      <c r="A31" s="6"/>
      <c r="B31" s="6"/>
    </row>
    <row r="32" spans="1:16" ht="15.75">
      <c r="A32" s="6"/>
      <c r="B32" s="6"/>
    </row>
    <row r="33" spans="1:12" ht="15.75">
      <c r="A33" s="6"/>
      <c r="B33" s="6"/>
    </row>
    <row r="34" spans="1:12" ht="15.75">
      <c r="A34" s="6"/>
      <c r="B34" s="6"/>
    </row>
    <row r="38" spans="1:12" ht="48" customHeight="1">
      <c r="A38" s="180" t="s">
        <v>80</v>
      </c>
      <c r="B38" s="180"/>
      <c r="C38" s="180"/>
      <c r="D38" s="180"/>
      <c r="E38" s="180"/>
      <c r="F38" s="180"/>
      <c r="G38" s="180"/>
      <c r="H38" s="180"/>
      <c r="I38" s="180"/>
      <c r="J38" s="180"/>
    </row>
    <row r="39" spans="1:12" ht="60">
      <c r="A39" s="7" t="s">
        <v>20</v>
      </c>
      <c r="B39" s="143" t="s">
        <v>81</v>
      </c>
      <c r="C39" s="143" t="s">
        <v>82</v>
      </c>
      <c r="D39" s="143" t="s">
        <v>83</v>
      </c>
      <c r="E39" s="143" t="s">
        <v>84</v>
      </c>
      <c r="F39" s="143" t="s">
        <v>85</v>
      </c>
      <c r="G39" s="143" t="s">
        <v>86</v>
      </c>
      <c r="H39" s="143" t="s">
        <v>87</v>
      </c>
      <c r="I39" s="143" t="s">
        <v>88</v>
      </c>
      <c r="J39" s="143" t="s">
        <v>89</v>
      </c>
      <c r="K39" s="144" t="s">
        <v>90</v>
      </c>
      <c r="L39" s="15" t="s">
        <v>39</v>
      </c>
    </row>
    <row r="40" spans="1:12" ht="15.75">
      <c r="A40" s="2" t="s">
        <v>19</v>
      </c>
      <c r="B40" s="2">
        <v>1</v>
      </c>
      <c r="C40" s="9">
        <v>1</v>
      </c>
      <c r="D40" s="9" t="s">
        <v>18</v>
      </c>
      <c r="E40" s="9">
        <v>1</v>
      </c>
      <c r="F40" s="9">
        <v>1</v>
      </c>
      <c r="G40" s="9"/>
      <c r="H40" s="9">
        <v>1</v>
      </c>
      <c r="I40" s="9">
        <v>1</v>
      </c>
      <c r="J40" s="9">
        <v>1</v>
      </c>
      <c r="K40" s="9">
        <v>1</v>
      </c>
      <c r="L40" s="12">
        <f>SUM(B40:K40)</f>
        <v>8</v>
      </c>
    </row>
    <row r="41" spans="1:12" ht="15.75">
      <c r="A41" s="2" t="s">
        <v>21</v>
      </c>
      <c r="B41" s="2">
        <v>1</v>
      </c>
      <c r="C41" s="9">
        <v>1</v>
      </c>
      <c r="D41" s="9">
        <v>1</v>
      </c>
      <c r="E41" s="9"/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12">
        <f t="shared" ref="L41:L42" si="4">SUM(B41:K41)</f>
        <v>9</v>
      </c>
    </row>
    <row r="42" spans="1:12" ht="47.25">
      <c r="A42" s="2" t="s">
        <v>35</v>
      </c>
      <c r="B42" s="2">
        <v>1</v>
      </c>
      <c r="C42" s="9"/>
      <c r="D42" s="9"/>
      <c r="E42" s="9"/>
      <c r="F42" s="9"/>
      <c r="G42" s="9"/>
      <c r="H42" s="9"/>
      <c r="I42" s="9"/>
      <c r="J42" s="9">
        <v>1</v>
      </c>
      <c r="K42" s="9">
        <v>1</v>
      </c>
      <c r="L42" s="12">
        <f t="shared" si="4"/>
        <v>3</v>
      </c>
    </row>
    <row r="43" spans="1:12" ht="15.75">
      <c r="A43" s="2" t="s">
        <v>22</v>
      </c>
      <c r="B43" s="2">
        <v>1</v>
      </c>
      <c r="C43" s="9">
        <v>1</v>
      </c>
      <c r="D43" s="9">
        <v>1</v>
      </c>
      <c r="E43" s="9"/>
      <c r="F43" s="9">
        <v>1</v>
      </c>
      <c r="G43" s="9">
        <v>1</v>
      </c>
      <c r="H43" s="9"/>
      <c r="I43" s="9">
        <v>1</v>
      </c>
      <c r="J43" s="9">
        <v>1</v>
      </c>
      <c r="K43" s="9">
        <v>1</v>
      </c>
      <c r="L43" s="12">
        <f>SUM(B43:K43)</f>
        <v>8</v>
      </c>
    </row>
    <row r="44" spans="1:12" ht="15.75">
      <c r="A44" s="2" t="s">
        <v>32</v>
      </c>
      <c r="B44" s="2"/>
      <c r="C44" s="9">
        <v>1</v>
      </c>
      <c r="D44" s="9">
        <v>1</v>
      </c>
      <c r="E44" s="9">
        <v>1</v>
      </c>
      <c r="F44" s="9"/>
      <c r="G44" s="9"/>
      <c r="H44" s="9">
        <v>1</v>
      </c>
      <c r="I44" s="9">
        <v>1</v>
      </c>
      <c r="J44" s="9">
        <v>1</v>
      </c>
      <c r="K44" s="9"/>
      <c r="L44" s="12">
        <f t="shared" ref="L44:L56" si="5">SUM(B44:K44)</f>
        <v>6</v>
      </c>
    </row>
    <row r="45" spans="1:12" ht="15.75">
      <c r="A45" s="2" t="s">
        <v>23</v>
      </c>
      <c r="B45" s="2">
        <v>1</v>
      </c>
      <c r="C45" s="9"/>
      <c r="D45" s="9">
        <v>1</v>
      </c>
      <c r="E45" s="9">
        <v>1</v>
      </c>
      <c r="F45" s="9">
        <v>1</v>
      </c>
      <c r="G45" s="9">
        <v>1</v>
      </c>
      <c r="H45" s="9"/>
      <c r="I45" s="9"/>
      <c r="J45" s="9"/>
      <c r="K45" s="9">
        <v>1</v>
      </c>
      <c r="L45" s="12">
        <f t="shared" si="5"/>
        <v>6</v>
      </c>
    </row>
    <row r="46" spans="1:12" ht="15.75">
      <c r="A46" s="2" t="s">
        <v>24</v>
      </c>
      <c r="B46" s="2">
        <v>1</v>
      </c>
      <c r="C46" s="9">
        <v>1</v>
      </c>
      <c r="D46" s="9">
        <v>1</v>
      </c>
      <c r="E46" s="9">
        <v>1</v>
      </c>
      <c r="F46" s="9">
        <v>1</v>
      </c>
      <c r="G46" s="9">
        <v>1</v>
      </c>
      <c r="H46" s="9">
        <v>1</v>
      </c>
      <c r="I46" s="9"/>
      <c r="J46" s="9"/>
      <c r="K46" s="9">
        <v>1</v>
      </c>
      <c r="L46" s="12">
        <f t="shared" si="5"/>
        <v>8</v>
      </c>
    </row>
    <row r="47" spans="1:12" ht="15.75">
      <c r="A47" s="2" t="s">
        <v>25</v>
      </c>
      <c r="B47" s="2"/>
      <c r="C47" s="9"/>
      <c r="D47" s="9"/>
      <c r="E47" s="9"/>
      <c r="F47" s="9"/>
      <c r="G47" s="9"/>
      <c r="H47" s="9"/>
      <c r="I47" s="9"/>
      <c r="J47" s="9"/>
      <c r="K47" s="9"/>
      <c r="L47" s="12">
        <f t="shared" si="5"/>
        <v>0</v>
      </c>
    </row>
    <row r="48" spans="1:12" ht="31.5">
      <c r="A48" s="2" t="s">
        <v>26</v>
      </c>
      <c r="B48" s="2"/>
      <c r="C48" s="9">
        <v>1</v>
      </c>
      <c r="D48" s="9">
        <v>1</v>
      </c>
      <c r="E48" s="9"/>
      <c r="F48" s="9"/>
      <c r="G48" s="9">
        <v>1</v>
      </c>
      <c r="H48" s="9"/>
      <c r="I48" s="9"/>
      <c r="J48" s="9">
        <v>1</v>
      </c>
      <c r="K48" s="9"/>
      <c r="L48" s="12">
        <f t="shared" si="5"/>
        <v>4</v>
      </c>
    </row>
    <row r="49" spans="1:12" ht="15.75">
      <c r="A49" s="2" t="s">
        <v>27</v>
      </c>
      <c r="B49" s="2">
        <v>1</v>
      </c>
      <c r="C49" s="9"/>
      <c r="D49" s="9"/>
      <c r="E49" s="9">
        <v>1</v>
      </c>
      <c r="F49" s="9"/>
      <c r="G49" s="9"/>
      <c r="H49" s="9"/>
      <c r="I49" s="9">
        <v>1</v>
      </c>
      <c r="J49" s="9"/>
      <c r="K49" s="9">
        <v>1</v>
      </c>
      <c r="L49" s="12">
        <f t="shared" si="5"/>
        <v>4</v>
      </c>
    </row>
    <row r="50" spans="1:12" ht="15.75">
      <c r="A50" s="2" t="s">
        <v>28</v>
      </c>
      <c r="B50" s="2"/>
      <c r="C50" s="9">
        <v>1</v>
      </c>
      <c r="D50" s="9">
        <v>1</v>
      </c>
      <c r="E50" s="9">
        <v>1</v>
      </c>
      <c r="F50" s="9">
        <v>1</v>
      </c>
      <c r="G50" s="9"/>
      <c r="H50" s="9">
        <v>1</v>
      </c>
      <c r="I50" s="9"/>
      <c r="J50" s="9">
        <v>1</v>
      </c>
      <c r="K50" s="9">
        <v>1</v>
      </c>
      <c r="L50" s="12">
        <f t="shared" si="5"/>
        <v>7</v>
      </c>
    </row>
    <row r="51" spans="1:12" ht="31.5">
      <c r="A51" s="10" t="s">
        <v>30</v>
      </c>
      <c r="B51" s="2"/>
      <c r="C51" s="9"/>
      <c r="D51" s="9"/>
      <c r="E51" s="9"/>
      <c r="F51" s="9"/>
      <c r="G51" s="9"/>
      <c r="H51" s="9">
        <v>1</v>
      </c>
      <c r="I51" s="9">
        <v>1</v>
      </c>
      <c r="J51" s="9"/>
      <c r="K51" s="9">
        <v>1</v>
      </c>
      <c r="L51" s="12">
        <f t="shared" si="5"/>
        <v>3</v>
      </c>
    </row>
    <row r="52" spans="1:12" ht="47.25">
      <c r="A52" s="2" t="s">
        <v>36</v>
      </c>
      <c r="B52" s="2">
        <v>1</v>
      </c>
      <c r="C52" s="9"/>
      <c r="D52" s="9"/>
      <c r="E52" s="9">
        <v>1</v>
      </c>
      <c r="F52" s="9">
        <v>1</v>
      </c>
      <c r="G52" s="9">
        <v>1</v>
      </c>
      <c r="H52" s="9"/>
      <c r="I52" s="9"/>
      <c r="J52" s="9"/>
      <c r="K52" s="9">
        <v>1</v>
      </c>
      <c r="L52" s="12">
        <f t="shared" si="5"/>
        <v>5</v>
      </c>
    </row>
    <row r="53" spans="1:12" ht="31.5">
      <c r="A53" s="2" t="s">
        <v>37</v>
      </c>
      <c r="B53" s="2"/>
      <c r="C53" s="9">
        <v>1</v>
      </c>
      <c r="D53" s="9"/>
      <c r="E53" s="9"/>
      <c r="F53" s="9"/>
      <c r="G53" s="9"/>
      <c r="H53" s="9"/>
      <c r="I53" s="9"/>
      <c r="J53" s="9"/>
      <c r="K53" s="9">
        <v>1</v>
      </c>
      <c r="L53" s="12">
        <f t="shared" si="5"/>
        <v>2</v>
      </c>
    </row>
    <row r="54" spans="1:12" ht="31.5">
      <c r="A54" s="2" t="s">
        <v>33</v>
      </c>
      <c r="B54" s="2"/>
      <c r="C54" s="9"/>
      <c r="D54" s="9">
        <v>1</v>
      </c>
      <c r="E54" s="9"/>
      <c r="F54" s="9"/>
      <c r="G54" s="9"/>
      <c r="H54" s="9"/>
      <c r="I54" s="9"/>
      <c r="J54" s="9"/>
      <c r="K54" s="9"/>
      <c r="L54" s="12">
        <f t="shared" si="5"/>
        <v>1</v>
      </c>
    </row>
    <row r="55" spans="1:12" ht="15.75">
      <c r="A55" s="2" t="s">
        <v>29</v>
      </c>
      <c r="B55" s="2"/>
      <c r="C55" s="9"/>
      <c r="D55" s="9"/>
      <c r="E55" s="9"/>
      <c r="F55" s="9">
        <v>1</v>
      </c>
      <c r="G55" s="9">
        <v>1</v>
      </c>
      <c r="H55" s="9"/>
      <c r="I55" s="9"/>
      <c r="J55" s="9">
        <v>1</v>
      </c>
      <c r="K55" s="9">
        <v>1</v>
      </c>
      <c r="L55" s="12">
        <f t="shared" si="5"/>
        <v>4</v>
      </c>
    </row>
    <row r="56" spans="1:12" ht="15.75">
      <c r="A56" s="2" t="s">
        <v>31</v>
      </c>
      <c r="B56" s="2"/>
      <c r="C56" s="9"/>
      <c r="D56" s="9"/>
      <c r="E56" s="9"/>
      <c r="F56" s="9">
        <v>1</v>
      </c>
      <c r="G56" s="9"/>
      <c r="H56" s="9"/>
      <c r="I56" s="9"/>
      <c r="J56" s="9"/>
      <c r="K56" s="9"/>
      <c r="L56" s="12">
        <f t="shared" si="5"/>
        <v>1</v>
      </c>
    </row>
    <row r="57" spans="1:12" ht="15.75">
      <c r="A57" s="2" t="s">
        <v>95</v>
      </c>
      <c r="B57" s="2">
        <v>1</v>
      </c>
      <c r="C57" s="9"/>
      <c r="D57" s="9"/>
      <c r="E57" s="9"/>
      <c r="F57" s="9">
        <v>1</v>
      </c>
      <c r="G57" s="9"/>
      <c r="H57" s="9">
        <v>1</v>
      </c>
      <c r="I57" s="9">
        <v>1</v>
      </c>
      <c r="J57" s="9"/>
      <c r="K57" s="9"/>
      <c r="L57" s="12"/>
    </row>
    <row r="58" spans="1:12" ht="15.75">
      <c r="A58" s="2" t="s">
        <v>94</v>
      </c>
      <c r="B58" s="2"/>
      <c r="C58" s="9"/>
      <c r="D58" s="9">
        <v>1</v>
      </c>
      <c r="E58" s="9">
        <v>1</v>
      </c>
      <c r="F58" s="9"/>
      <c r="G58" s="9"/>
      <c r="H58" s="9"/>
      <c r="I58" s="9"/>
      <c r="J58" s="9"/>
      <c r="K58" s="9"/>
      <c r="L58" s="12"/>
    </row>
    <row r="59" spans="1:12" ht="47.25">
      <c r="A59" s="11" t="s">
        <v>38</v>
      </c>
      <c r="B59" s="11">
        <f t="shared" ref="B59:L59" si="6">SUM(B40:B58)</f>
        <v>9</v>
      </c>
      <c r="C59" s="11">
        <f t="shared" si="6"/>
        <v>8</v>
      </c>
      <c r="D59" s="11">
        <f t="shared" si="6"/>
        <v>9</v>
      </c>
      <c r="E59" s="11">
        <f t="shared" si="6"/>
        <v>8</v>
      </c>
      <c r="F59" s="11">
        <f t="shared" si="6"/>
        <v>10</v>
      </c>
      <c r="G59" s="11">
        <f t="shared" si="6"/>
        <v>7</v>
      </c>
      <c r="H59" s="11">
        <f t="shared" si="6"/>
        <v>7</v>
      </c>
      <c r="I59" s="11">
        <f t="shared" si="6"/>
        <v>7</v>
      </c>
      <c r="J59" s="11">
        <f t="shared" si="6"/>
        <v>8</v>
      </c>
      <c r="K59" s="11">
        <f t="shared" si="6"/>
        <v>12</v>
      </c>
      <c r="L59" s="29">
        <f t="shared" si="6"/>
        <v>79</v>
      </c>
    </row>
    <row r="65" spans="1:5" ht="47.25">
      <c r="A65" s="5" t="s">
        <v>71</v>
      </c>
      <c r="B65" s="5">
        <f>COUNTA(A40:A58)</f>
        <v>19</v>
      </c>
    </row>
    <row r="67" spans="1:5" ht="51.75">
      <c r="A67" s="26" t="s">
        <v>63</v>
      </c>
      <c r="B67" s="163"/>
      <c r="C67" s="163"/>
      <c r="D67" s="163"/>
      <c r="E67" s="27">
        <f>SUM(B59:K59)/10</f>
        <v>8.5</v>
      </c>
    </row>
    <row r="68" spans="1:5" ht="56.25">
      <c r="A68" s="32" t="s">
        <v>70</v>
      </c>
      <c r="B68" s="33">
        <f>B65/E67</f>
        <v>2.2352941176470589</v>
      </c>
      <c r="C68" s="25"/>
      <c r="D68" s="25"/>
      <c r="E68" s="25"/>
    </row>
  </sheetData>
  <mergeCells count="6">
    <mergeCell ref="B67:D67"/>
    <mergeCell ref="O4:P7"/>
    <mergeCell ref="B25:D25"/>
    <mergeCell ref="Q5:V9"/>
    <mergeCell ref="A1:J1"/>
    <mergeCell ref="A38:J3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opLeftCell="A22" zoomScale="90" zoomScaleNormal="90" workbookViewId="0">
      <selection activeCell="B43" sqref="B43:K43"/>
    </sheetView>
  </sheetViews>
  <sheetFormatPr defaultColWidth="8.7109375" defaultRowHeight="15"/>
  <cols>
    <col min="1" max="1" width="21.28515625" style="14" customWidth="1"/>
    <col min="2" max="2" width="15.140625" style="14" customWidth="1"/>
    <col min="3" max="3" width="13.42578125" style="14" bestFit="1" customWidth="1"/>
    <col min="4" max="4" width="14.140625" style="14" bestFit="1" customWidth="1"/>
    <col min="5" max="5" width="15.140625" style="14" customWidth="1"/>
    <col min="6" max="6" width="14.42578125" style="14" customWidth="1"/>
    <col min="7" max="7" width="12.140625" style="14" customWidth="1"/>
    <col min="8" max="8" width="17.140625" style="14" customWidth="1"/>
    <col min="9" max="9" width="11.85546875" style="14" customWidth="1"/>
    <col min="10" max="10" width="15.140625" style="14" customWidth="1"/>
    <col min="11" max="11" width="12.5703125" style="14" customWidth="1"/>
    <col min="12" max="12" width="19.5703125" style="14" bestFit="1" customWidth="1"/>
    <col min="13" max="13" width="13.85546875" style="1" customWidth="1"/>
    <col min="14" max="14" width="14.7109375" style="1" customWidth="1"/>
    <col min="15" max="15" width="12.7109375" style="1" customWidth="1"/>
    <col min="16" max="16" width="11" style="1" customWidth="1"/>
    <col min="17" max="16384" width="8.7109375" style="1"/>
  </cols>
  <sheetData>
    <row r="1" spans="1:16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180"/>
    </row>
    <row r="2" spans="1:16" ht="68.25" customHeight="1">
      <c r="A2" s="7" t="s">
        <v>20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15" t="s">
        <v>39</v>
      </c>
      <c r="M2" s="125" t="s">
        <v>64</v>
      </c>
      <c r="N2" s="126" t="s">
        <v>65</v>
      </c>
      <c r="O2" s="120" t="s">
        <v>69</v>
      </c>
      <c r="P2" s="121" t="s">
        <v>68</v>
      </c>
    </row>
    <row r="3" spans="1:16">
      <c r="A3" s="17" t="s">
        <v>45</v>
      </c>
      <c r="B3" s="17">
        <v>1</v>
      </c>
      <c r="C3" s="17">
        <v>1</v>
      </c>
      <c r="D3" s="17">
        <v>1</v>
      </c>
      <c r="E3" s="17">
        <v>1</v>
      </c>
      <c r="F3" s="17">
        <v>1</v>
      </c>
      <c r="G3" s="17">
        <v>1</v>
      </c>
      <c r="H3" s="17">
        <v>1</v>
      </c>
      <c r="I3" s="17">
        <v>1</v>
      </c>
      <c r="J3" s="17">
        <v>1</v>
      </c>
      <c r="K3" s="17">
        <v>1</v>
      </c>
      <c r="L3" s="15">
        <f>SUM(B3:K3)</f>
        <v>10</v>
      </c>
      <c r="M3" s="127">
        <f>L3/$L$12</f>
        <v>0.19607843137254902</v>
      </c>
      <c r="N3" s="130">
        <f>M3*LN(M3)</f>
        <v>-0.31945892935887843</v>
      </c>
      <c r="O3" s="112">
        <f>-SUM(N3:N11)</f>
        <v>2.0619074121872578</v>
      </c>
      <c r="P3" s="122">
        <f>O3/$N$12</f>
        <v>0.93841450412273653</v>
      </c>
    </row>
    <row r="4" spans="1:16" ht="45">
      <c r="A4" s="17" t="s">
        <v>46</v>
      </c>
      <c r="B4" s="17">
        <v>1</v>
      </c>
      <c r="C4" s="17">
        <v>1</v>
      </c>
      <c r="D4" s="17">
        <v>1</v>
      </c>
      <c r="E4" s="17"/>
      <c r="F4" s="17">
        <v>1</v>
      </c>
      <c r="G4" s="17"/>
      <c r="H4" s="17"/>
      <c r="I4" s="17"/>
      <c r="J4" s="17">
        <v>1</v>
      </c>
      <c r="K4" s="17"/>
      <c r="L4" s="15">
        <f t="shared" ref="L4:L11" si="0">SUM(B4:K4)</f>
        <v>5</v>
      </c>
      <c r="M4" s="127">
        <f t="shared" ref="M4:M11" si="1">L4/$L$12</f>
        <v>9.8039215686274508E-2</v>
      </c>
      <c r="N4" s="130">
        <f t="shared" ref="N4:N11" si="2">M4*LN(M4)</f>
        <v>-0.22768507061668875</v>
      </c>
    </row>
    <row r="5" spans="1:16" ht="30">
      <c r="A5" s="17" t="s">
        <v>47</v>
      </c>
      <c r="B5" s="17">
        <v>1</v>
      </c>
      <c r="C5" s="17">
        <v>1</v>
      </c>
      <c r="D5" s="17">
        <v>1</v>
      </c>
      <c r="E5" s="17">
        <v>1</v>
      </c>
      <c r="F5" s="17">
        <v>1</v>
      </c>
      <c r="G5" s="17"/>
      <c r="H5" s="17">
        <v>1</v>
      </c>
      <c r="I5" s="17">
        <v>1</v>
      </c>
      <c r="J5" s="17">
        <v>1</v>
      </c>
      <c r="K5" s="17"/>
      <c r="L5" s="15">
        <f t="shared" si="0"/>
        <v>8</v>
      </c>
      <c r="M5" s="127">
        <f t="shared" si="1"/>
        <v>0.15686274509803921</v>
      </c>
      <c r="N5" s="130">
        <f t="shared" si="2"/>
        <v>-0.29057005349717485</v>
      </c>
    </row>
    <row r="6" spans="1:16">
      <c r="A6" s="17" t="s">
        <v>48</v>
      </c>
      <c r="B6" s="17">
        <v>1</v>
      </c>
      <c r="C6" s="17">
        <v>1</v>
      </c>
      <c r="D6" s="17"/>
      <c r="E6" s="17"/>
      <c r="F6" s="17">
        <v>1</v>
      </c>
      <c r="G6" s="17">
        <v>1</v>
      </c>
      <c r="H6" s="17">
        <v>1</v>
      </c>
      <c r="I6" s="17">
        <v>1</v>
      </c>
      <c r="J6" s="17">
        <v>1</v>
      </c>
      <c r="K6" s="17">
        <v>1</v>
      </c>
      <c r="L6" s="15">
        <f t="shared" si="0"/>
        <v>8</v>
      </c>
      <c r="M6" s="127">
        <f t="shared" si="1"/>
        <v>0.15686274509803921</v>
      </c>
      <c r="N6" s="130">
        <f t="shared" si="2"/>
        <v>-0.29057005349717485</v>
      </c>
    </row>
    <row r="7" spans="1:16">
      <c r="A7" s="17" t="s">
        <v>49</v>
      </c>
      <c r="B7" s="17">
        <v>1</v>
      </c>
      <c r="C7" s="17"/>
      <c r="D7" s="17"/>
      <c r="E7" s="17">
        <v>1</v>
      </c>
      <c r="F7" s="17"/>
      <c r="G7" s="17"/>
      <c r="H7" s="17">
        <v>1</v>
      </c>
      <c r="I7" s="17"/>
      <c r="J7" s="17"/>
      <c r="K7" s="17"/>
      <c r="L7" s="15">
        <f t="shared" si="0"/>
        <v>3</v>
      </c>
      <c r="M7" s="127">
        <f t="shared" si="1"/>
        <v>5.8823529411764705E-2</v>
      </c>
      <c r="N7" s="130">
        <f t="shared" si="2"/>
        <v>-0.16665960847389508</v>
      </c>
    </row>
    <row r="8" spans="1:16" ht="45">
      <c r="A8" s="17" t="s">
        <v>50</v>
      </c>
      <c r="B8" s="17"/>
      <c r="C8" s="17"/>
      <c r="D8" s="17"/>
      <c r="E8" s="17"/>
      <c r="F8" s="17"/>
      <c r="G8" s="17">
        <v>1</v>
      </c>
      <c r="H8" s="17">
        <v>1</v>
      </c>
      <c r="I8" s="17"/>
      <c r="J8" s="17">
        <v>1</v>
      </c>
      <c r="K8" s="17">
        <v>1</v>
      </c>
      <c r="L8" s="15">
        <f t="shared" si="0"/>
        <v>4</v>
      </c>
      <c r="M8" s="127">
        <f t="shared" si="1"/>
        <v>7.8431372549019607E-2</v>
      </c>
      <c r="N8" s="130">
        <f t="shared" si="2"/>
        <v>-0.19964951149838708</v>
      </c>
    </row>
    <row r="9" spans="1:16">
      <c r="A9" s="17" t="s">
        <v>51</v>
      </c>
      <c r="B9" s="17">
        <v>1</v>
      </c>
      <c r="C9" s="17">
        <v>1</v>
      </c>
      <c r="D9" s="17">
        <v>1</v>
      </c>
      <c r="E9" s="17"/>
      <c r="F9" s="17"/>
      <c r="G9" s="17"/>
      <c r="H9" s="17"/>
      <c r="I9" s="17"/>
      <c r="J9" s="17"/>
      <c r="K9" s="17">
        <v>1</v>
      </c>
      <c r="L9" s="15">
        <f t="shared" si="0"/>
        <v>4</v>
      </c>
      <c r="M9" s="127">
        <f t="shared" si="1"/>
        <v>7.8431372549019607E-2</v>
      </c>
      <c r="N9" s="130">
        <f t="shared" si="2"/>
        <v>-0.19964951149838708</v>
      </c>
    </row>
    <row r="10" spans="1:16" ht="45">
      <c r="A10" s="17" t="s">
        <v>52</v>
      </c>
      <c r="B10" s="17">
        <v>1</v>
      </c>
      <c r="C10" s="17"/>
      <c r="D10" s="17"/>
      <c r="E10" s="17">
        <v>1</v>
      </c>
      <c r="F10" s="17">
        <v>1</v>
      </c>
      <c r="G10" s="17">
        <v>1</v>
      </c>
      <c r="H10" s="17">
        <v>1</v>
      </c>
      <c r="I10" s="17">
        <v>1</v>
      </c>
      <c r="J10" s="17">
        <v>1</v>
      </c>
      <c r="K10" s="17">
        <v>1</v>
      </c>
      <c r="L10" s="15">
        <f t="shared" si="0"/>
        <v>8</v>
      </c>
      <c r="M10" s="127">
        <f t="shared" si="1"/>
        <v>0.15686274509803921</v>
      </c>
      <c r="N10" s="130">
        <f t="shared" si="2"/>
        <v>-0.29057005349717485</v>
      </c>
    </row>
    <row r="11" spans="1:16" ht="30">
      <c r="A11" s="17" t="s">
        <v>53</v>
      </c>
      <c r="B11" s="17"/>
      <c r="C11" s="17"/>
      <c r="D11" s="17"/>
      <c r="E11" s="17"/>
      <c r="F11" s="17"/>
      <c r="G11" s="17">
        <v>1</v>
      </c>
      <c r="H11" s="17"/>
      <c r="I11" s="17"/>
      <c r="J11" s="17"/>
      <c r="K11" s="17"/>
      <c r="L11" s="15">
        <f t="shared" si="0"/>
        <v>1</v>
      </c>
      <c r="M11" s="127">
        <f t="shared" si="1"/>
        <v>1.9607843137254902E-2</v>
      </c>
      <c r="N11" s="130">
        <f t="shared" si="2"/>
        <v>-7.7094620249496579E-2</v>
      </c>
    </row>
    <row r="12" spans="1:16" ht="45">
      <c r="A12" s="15" t="s">
        <v>38</v>
      </c>
      <c r="B12" s="15">
        <f>SUM(B3:B11)</f>
        <v>7</v>
      </c>
      <c r="C12" s="15">
        <f t="shared" ref="C12:K12" si="3">SUM(C3:C11)</f>
        <v>5</v>
      </c>
      <c r="D12" s="15">
        <f t="shared" si="3"/>
        <v>4</v>
      </c>
      <c r="E12" s="15">
        <f t="shared" si="3"/>
        <v>4</v>
      </c>
      <c r="F12" s="15">
        <f t="shared" si="3"/>
        <v>5</v>
      </c>
      <c r="G12" s="15">
        <f t="shared" si="3"/>
        <v>5</v>
      </c>
      <c r="H12" s="15">
        <f t="shared" si="3"/>
        <v>6</v>
      </c>
      <c r="I12" s="15">
        <f t="shared" si="3"/>
        <v>4</v>
      </c>
      <c r="J12" s="15">
        <f t="shared" si="3"/>
        <v>6</v>
      </c>
      <c r="K12" s="15">
        <f t="shared" si="3"/>
        <v>5</v>
      </c>
      <c r="L12" s="35">
        <f>SUM(B12:K12)</f>
        <v>51</v>
      </c>
      <c r="M12" s="123" t="s">
        <v>67</v>
      </c>
      <c r="N12" s="124">
        <f>LN(B16)</f>
        <v>2.1972245773362196</v>
      </c>
    </row>
    <row r="13" spans="1:16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</row>
    <row r="14" spans="1:16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spans="1:16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</row>
    <row r="16" spans="1:16" ht="31.5">
      <c r="A16" s="13" t="s">
        <v>40</v>
      </c>
      <c r="B16" s="13">
        <f>COUNTA(A3:A11)</f>
        <v>9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</row>
    <row r="17" spans="1:12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</row>
    <row r="18" spans="1:12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</row>
    <row r="19" spans="1:12" ht="51.75">
      <c r="A19" s="26" t="s">
        <v>63</v>
      </c>
      <c r="B19" s="163"/>
      <c r="C19" s="163"/>
      <c r="D19" s="163"/>
      <c r="E19" s="27">
        <f>SUM(B12:K12)/10</f>
        <v>5.0999999999999996</v>
      </c>
      <c r="F19" s="34"/>
      <c r="G19" s="34"/>
      <c r="H19" s="34"/>
      <c r="I19" s="34"/>
      <c r="J19" s="34"/>
      <c r="K19" s="34"/>
      <c r="L19" s="34"/>
    </row>
    <row r="20" spans="1:12" ht="80.25" customHeight="1">
      <c r="A20" s="32" t="s">
        <v>70</v>
      </c>
      <c r="B20" s="33">
        <f>B16/E19</f>
        <v>1.7647058823529413</v>
      </c>
      <c r="C20" s="25"/>
      <c r="D20" s="25"/>
      <c r="E20" s="25"/>
      <c r="F20" s="34"/>
      <c r="G20" s="34"/>
      <c r="H20" s="34"/>
      <c r="I20" s="34"/>
      <c r="J20" s="34"/>
      <c r="K20" s="34"/>
      <c r="L20" s="34"/>
    </row>
    <row r="21" spans="1:12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31" spans="1:12">
      <c r="A31" s="180" t="s">
        <v>80</v>
      </c>
      <c r="B31" s="180"/>
      <c r="C31" s="180"/>
      <c r="D31" s="180"/>
      <c r="E31" s="180"/>
      <c r="F31" s="180"/>
      <c r="G31" s="180"/>
      <c r="H31" s="180"/>
      <c r="I31" s="180"/>
      <c r="J31" s="180"/>
    </row>
    <row r="32" spans="1:12" ht="60">
      <c r="A32" s="7" t="s">
        <v>20</v>
      </c>
      <c r="B32" s="143" t="s">
        <v>81</v>
      </c>
      <c r="C32" s="143" t="s">
        <v>82</v>
      </c>
      <c r="D32" s="143" t="s">
        <v>83</v>
      </c>
      <c r="E32" s="143" t="s">
        <v>84</v>
      </c>
      <c r="F32" s="143" t="s">
        <v>85</v>
      </c>
      <c r="G32" s="143" t="s">
        <v>86</v>
      </c>
      <c r="H32" s="143" t="s">
        <v>87</v>
      </c>
      <c r="I32" s="143" t="s">
        <v>88</v>
      </c>
      <c r="J32" s="143" t="s">
        <v>89</v>
      </c>
      <c r="K32" s="144" t="s">
        <v>90</v>
      </c>
      <c r="L32" s="15" t="s">
        <v>39</v>
      </c>
    </row>
    <row r="33" spans="1:12">
      <c r="A33" s="17" t="s">
        <v>45</v>
      </c>
      <c r="B33" s="17">
        <v>1</v>
      </c>
      <c r="C33" s="17">
        <v>1</v>
      </c>
      <c r="D33" s="17">
        <v>1</v>
      </c>
      <c r="E33" s="17"/>
      <c r="F33" s="17">
        <v>1</v>
      </c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5">
        <f>SUM(B33:K33)</f>
        <v>9</v>
      </c>
    </row>
    <row r="34" spans="1:12">
      <c r="A34" s="17" t="s">
        <v>98</v>
      </c>
      <c r="B34" s="17"/>
      <c r="C34" s="17"/>
      <c r="D34" s="17"/>
      <c r="E34" s="17">
        <v>1</v>
      </c>
      <c r="F34" s="17"/>
      <c r="G34" s="17"/>
      <c r="H34" s="17"/>
      <c r="I34" s="17"/>
      <c r="J34" s="17"/>
      <c r="K34" s="17">
        <v>1</v>
      </c>
      <c r="L34" s="15"/>
    </row>
    <row r="35" spans="1:12" ht="45">
      <c r="A35" s="17" t="s">
        <v>46</v>
      </c>
      <c r="B35" s="17">
        <v>1</v>
      </c>
      <c r="C35" s="17">
        <v>1</v>
      </c>
      <c r="D35" s="17">
        <v>1</v>
      </c>
      <c r="E35" s="17"/>
      <c r="F35" s="17">
        <v>1</v>
      </c>
      <c r="G35" s="17"/>
      <c r="H35" s="17"/>
      <c r="I35" s="17"/>
      <c r="J35" s="17"/>
      <c r="K35" s="17"/>
      <c r="L35" s="15">
        <f t="shared" ref="L35:L42" si="4">SUM(B35:K35)</f>
        <v>4</v>
      </c>
    </row>
    <row r="36" spans="1:12" ht="30">
      <c r="A36" s="17" t="s">
        <v>47</v>
      </c>
      <c r="B36" s="17">
        <v>1</v>
      </c>
      <c r="C36" s="17"/>
      <c r="D36" s="17">
        <v>1</v>
      </c>
      <c r="E36" s="17">
        <v>1</v>
      </c>
      <c r="F36" s="17"/>
      <c r="G36" s="17"/>
      <c r="H36" s="17">
        <v>1</v>
      </c>
      <c r="I36" s="17">
        <v>1</v>
      </c>
      <c r="J36" s="17">
        <v>1</v>
      </c>
      <c r="K36" s="17">
        <v>1</v>
      </c>
      <c r="L36" s="15">
        <f t="shared" si="4"/>
        <v>7</v>
      </c>
    </row>
    <row r="37" spans="1:12">
      <c r="A37" s="17" t="s">
        <v>48</v>
      </c>
      <c r="B37" s="17">
        <v>1</v>
      </c>
      <c r="C37" s="17">
        <v>1</v>
      </c>
      <c r="D37" s="17"/>
      <c r="E37" s="17"/>
      <c r="F37" s="17">
        <v>1</v>
      </c>
      <c r="G37" s="17">
        <v>1</v>
      </c>
      <c r="H37" s="17">
        <v>1</v>
      </c>
      <c r="I37" s="17">
        <v>1</v>
      </c>
      <c r="J37" s="17">
        <v>1</v>
      </c>
      <c r="K37" s="17">
        <v>1</v>
      </c>
      <c r="L37" s="15">
        <f t="shared" si="4"/>
        <v>8</v>
      </c>
    </row>
    <row r="38" spans="1:12">
      <c r="A38" s="17" t="s">
        <v>49</v>
      </c>
      <c r="B38" s="17">
        <v>1</v>
      </c>
      <c r="C38" s="17"/>
      <c r="D38" s="17"/>
      <c r="E38" s="17">
        <v>1</v>
      </c>
      <c r="F38" s="17"/>
      <c r="G38" s="17"/>
      <c r="H38" s="17">
        <v>1</v>
      </c>
      <c r="I38" s="17"/>
      <c r="J38" s="17"/>
      <c r="K38" s="17"/>
      <c r="L38" s="15">
        <f t="shared" si="4"/>
        <v>3</v>
      </c>
    </row>
    <row r="39" spans="1:12" ht="45">
      <c r="A39" s="17" t="s">
        <v>50</v>
      </c>
      <c r="B39" s="17"/>
      <c r="C39" s="17"/>
      <c r="D39" s="17"/>
      <c r="E39" s="17"/>
      <c r="F39" s="17"/>
      <c r="G39" s="17">
        <v>1</v>
      </c>
      <c r="H39" s="17"/>
      <c r="I39" s="17"/>
      <c r="J39" s="17"/>
      <c r="K39" s="17">
        <v>1</v>
      </c>
      <c r="L39" s="15">
        <f t="shared" si="4"/>
        <v>2</v>
      </c>
    </row>
    <row r="40" spans="1:12">
      <c r="A40" s="17" t="s">
        <v>51</v>
      </c>
      <c r="B40" s="17">
        <v>1</v>
      </c>
      <c r="C40" s="17">
        <v>1</v>
      </c>
      <c r="D40" s="17">
        <v>1</v>
      </c>
      <c r="E40" s="17"/>
      <c r="F40" s="17"/>
      <c r="G40" s="17"/>
      <c r="H40" s="17"/>
      <c r="I40" s="17"/>
      <c r="J40" s="17"/>
      <c r="K40" s="17">
        <v>1</v>
      </c>
      <c r="L40" s="15">
        <f t="shared" si="4"/>
        <v>4</v>
      </c>
    </row>
    <row r="41" spans="1:12" ht="45">
      <c r="A41" s="17" t="s">
        <v>52</v>
      </c>
      <c r="B41" s="17"/>
      <c r="C41" s="17"/>
      <c r="D41" s="17"/>
      <c r="E41" s="17">
        <v>1</v>
      </c>
      <c r="F41" s="17">
        <v>1</v>
      </c>
      <c r="G41" s="17">
        <v>1</v>
      </c>
      <c r="H41" s="17"/>
      <c r="I41" s="17">
        <v>1</v>
      </c>
      <c r="J41" s="17">
        <v>1</v>
      </c>
      <c r="K41" s="17">
        <v>1</v>
      </c>
      <c r="L41" s="15">
        <f t="shared" si="4"/>
        <v>6</v>
      </c>
    </row>
    <row r="42" spans="1:12">
      <c r="A42" s="17" t="s">
        <v>97</v>
      </c>
      <c r="B42" s="17"/>
      <c r="C42" s="17">
        <v>1</v>
      </c>
      <c r="D42" s="17"/>
      <c r="E42" s="17"/>
      <c r="F42" s="17"/>
      <c r="G42" s="17"/>
      <c r="H42" s="17">
        <v>1</v>
      </c>
      <c r="I42" s="17"/>
      <c r="J42" s="17"/>
      <c r="K42" s="17">
        <v>1</v>
      </c>
      <c r="L42" s="15">
        <f t="shared" si="4"/>
        <v>3</v>
      </c>
    </row>
    <row r="43" spans="1:12" ht="45">
      <c r="A43" s="15" t="s">
        <v>38</v>
      </c>
      <c r="B43" s="15">
        <f>SUM(B33:B42)</f>
        <v>6</v>
      </c>
      <c r="C43" s="15">
        <f t="shared" ref="C43:K43" si="5">SUM(C33:C42)</f>
        <v>5</v>
      </c>
      <c r="D43" s="15">
        <f t="shared" si="5"/>
        <v>4</v>
      </c>
      <c r="E43" s="15">
        <f t="shared" si="5"/>
        <v>4</v>
      </c>
      <c r="F43" s="15">
        <f t="shared" si="5"/>
        <v>4</v>
      </c>
      <c r="G43" s="15">
        <f t="shared" si="5"/>
        <v>4</v>
      </c>
      <c r="H43" s="15">
        <f t="shared" si="5"/>
        <v>5</v>
      </c>
      <c r="I43" s="15">
        <f t="shared" si="5"/>
        <v>4</v>
      </c>
      <c r="J43" s="15">
        <f t="shared" si="5"/>
        <v>4</v>
      </c>
      <c r="K43" s="15">
        <f t="shared" si="5"/>
        <v>8</v>
      </c>
      <c r="L43" s="35">
        <f>SUM(B43:K43)</f>
        <v>48</v>
      </c>
    </row>
    <row r="44" spans="1:12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5" spans="1:12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</row>
    <row r="46" spans="1:12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</row>
    <row r="47" spans="1:12" ht="31.5">
      <c r="A47" s="13" t="s">
        <v>40</v>
      </c>
      <c r="B47" s="13">
        <f>COUNTA(A33:A42)</f>
        <v>10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</row>
    <row r="48" spans="1:12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</row>
    <row r="49" spans="1:12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</row>
    <row r="50" spans="1:12" ht="51.75">
      <c r="A50" s="26" t="s">
        <v>63</v>
      </c>
      <c r="B50" s="163"/>
      <c r="C50" s="163"/>
      <c r="D50" s="163"/>
      <c r="E50" s="27">
        <f>SUM(B43:K43)/10</f>
        <v>4.8</v>
      </c>
      <c r="F50" s="34"/>
      <c r="G50" s="34"/>
      <c r="H50" s="34"/>
      <c r="I50" s="34"/>
      <c r="J50" s="34"/>
      <c r="K50" s="34"/>
      <c r="L50" s="34"/>
    </row>
    <row r="51" spans="1:12" ht="56.25">
      <c r="A51" s="32" t="s">
        <v>99</v>
      </c>
      <c r="B51" s="33">
        <f>B47/E50</f>
        <v>2.0833333333333335</v>
      </c>
      <c r="C51" s="25"/>
      <c r="D51" s="25"/>
      <c r="E51" s="25"/>
      <c r="F51" s="34"/>
      <c r="G51" s="34"/>
      <c r="H51" s="34"/>
      <c r="I51" s="34"/>
      <c r="J51" s="34"/>
      <c r="K51" s="34"/>
      <c r="L51" s="34"/>
    </row>
  </sheetData>
  <mergeCells count="4">
    <mergeCell ref="B19:D19"/>
    <mergeCell ref="A1:J1"/>
    <mergeCell ref="A31:J31"/>
    <mergeCell ref="B50:D5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D2" sqref="D2"/>
    </sheetView>
  </sheetViews>
  <sheetFormatPr defaultColWidth="8.7109375" defaultRowHeight="15"/>
  <cols>
    <col min="1" max="1" width="8.7109375" style="14"/>
    <col min="2" max="2" width="21.28515625" style="14" customWidth="1"/>
    <col min="3" max="3" width="18.28515625" style="14" customWidth="1"/>
    <col min="4" max="4" width="12.7109375" style="14" customWidth="1"/>
    <col min="5" max="5" width="18.7109375" style="14" customWidth="1"/>
    <col min="6" max="16384" width="8.7109375" style="14"/>
  </cols>
  <sheetData>
    <row r="1" spans="1:10">
      <c r="A1" s="186" t="s">
        <v>79</v>
      </c>
      <c r="B1" s="186"/>
      <c r="C1" s="186"/>
      <c r="D1" s="186"/>
      <c r="E1" s="186"/>
      <c r="F1" s="119"/>
      <c r="G1" s="119"/>
      <c r="H1" s="119"/>
      <c r="I1" s="119"/>
      <c r="J1" s="119"/>
    </row>
    <row r="2" spans="1:10" ht="65.25" customHeight="1">
      <c r="A2" s="19" t="s">
        <v>0</v>
      </c>
      <c r="B2" s="19" t="s">
        <v>1</v>
      </c>
      <c r="C2" s="19" t="s">
        <v>54</v>
      </c>
      <c r="D2" s="19" t="s">
        <v>55</v>
      </c>
      <c r="E2" s="19" t="s">
        <v>56</v>
      </c>
    </row>
    <row r="3" spans="1:10">
      <c r="A3" s="17">
        <v>1</v>
      </c>
      <c r="B3" s="17" t="s">
        <v>7</v>
      </c>
      <c r="C3" s="17">
        <v>4</v>
      </c>
      <c r="D3" s="17">
        <v>5</v>
      </c>
      <c r="E3" s="131">
        <f>C3/D3*100%</f>
        <v>0.8</v>
      </c>
    </row>
    <row r="4" spans="1:10">
      <c r="A4" s="17">
        <v>2</v>
      </c>
      <c r="B4" s="17" t="s">
        <v>8</v>
      </c>
      <c r="C4" s="17">
        <v>2</v>
      </c>
      <c r="D4" s="17">
        <v>4</v>
      </c>
      <c r="E4" s="131">
        <f>C4/D4*100%</f>
        <v>0.5</v>
      </c>
    </row>
    <row r="5" spans="1:10">
      <c r="A5" s="17">
        <v>3</v>
      </c>
      <c r="B5" s="17" t="s">
        <v>9</v>
      </c>
      <c r="C5" s="17">
        <v>2</v>
      </c>
      <c r="D5" s="17">
        <v>7</v>
      </c>
      <c r="E5" s="131">
        <f t="shared" ref="E5:E12" si="0">C5/D5*100%</f>
        <v>0.2857142857142857</v>
      </c>
    </row>
    <row r="6" spans="1:10">
      <c r="A6" s="17">
        <v>4</v>
      </c>
      <c r="B6" s="17" t="s">
        <v>10</v>
      </c>
      <c r="C6" s="17">
        <v>1</v>
      </c>
      <c r="D6" s="17">
        <v>9</v>
      </c>
      <c r="E6" s="131">
        <f t="shared" si="0"/>
        <v>0.1111111111111111</v>
      </c>
    </row>
    <row r="7" spans="1:10">
      <c r="A7" s="17">
        <v>5</v>
      </c>
      <c r="B7" s="17" t="s">
        <v>11</v>
      </c>
      <c r="C7" s="17">
        <v>3</v>
      </c>
      <c r="D7" s="17">
        <v>6</v>
      </c>
      <c r="E7" s="131">
        <f t="shared" si="0"/>
        <v>0.5</v>
      </c>
    </row>
    <row r="8" spans="1:10">
      <c r="A8" s="17">
        <v>6</v>
      </c>
      <c r="B8" s="17" t="s">
        <v>12</v>
      </c>
      <c r="C8" s="17">
        <v>1</v>
      </c>
      <c r="D8" s="17">
        <v>6</v>
      </c>
      <c r="E8" s="131">
        <f>C8/D8*100%</f>
        <v>0.16666666666666666</v>
      </c>
    </row>
    <row r="9" spans="1:10">
      <c r="A9" s="17">
        <v>7</v>
      </c>
      <c r="B9" s="17" t="s">
        <v>13</v>
      </c>
      <c r="C9" s="17">
        <v>5</v>
      </c>
      <c r="D9" s="17">
        <v>11</v>
      </c>
      <c r="E9" s="131">
        <f t="shared" si="0"/>
        <v>0.45454545454545453</v>
      </c>
    </row>
    <row r="10" spans="1:10">
      <c r="A10" s="17">
        <v>8</v>
      </c>
      <c r="B10" s="17" t="s">
        <v>14</v>
      </c>
      <c r="C10" s="17">
        <v>2</v>
      </c>
      <c r="D10" s="17">
        <v>10</v>
      </c>
      <c r="E10" s="131">
        <f t="shared" si="0"/>
        <v>0.2</v>
      </c>
    </row>
    <row r="11" spans="1:10">
      <c r="A11" s="17">
        <v>9</v>
      </c>
      <c r="B11" s="17" t="s">
        <v>15</v>
      </c>
      <c r="C11" s="17">
        <v>4</v>
      </c>
      <c r="D11" s="17">
        <v>8</v>
      </c>
      <c r="E11" s="131">
        <f t="shared" si="0"/>
        <v>0.5</v>
      </c>
    </row>
    <row r="12" spans="1:10">
      <c r="A12" s="17">
        <v>10</v>
      </c>
      <c r="B12" s="17" t="s">
        <v>16</v>
      </c>
      <c r="C12" s="17">
        <v>6</v>
      </c>
      <c r="D12" s="17">
        <v>8</v>
      </c>
      <c r="E12" s="131">
        <f t="shared" si="0"/>
        <v>0.75</v>
      </c>
    </row>
    <row r="13" spans="1:10">
      <c r="D13" s="14" t="s">
        <v>57</v>
      </c>
      <c r="E13" s="20">
        <f>AVERAGE(E3:E12)</f>
        <v>0.42680375180375185</v>
      </c>
    </row>
    <row r="19" spans="1:5">
      <c r="A19" s="186" t="s">
        <v>100</v>
      </c>
      <c r="B19" s="186"/>
      <c r="C19" s="186"/>
      <c r="D19" s="186"/>
      <c r="E19" s="186"/>
    </row>
    <row r="20" spans="1:5" ht="45">
      <c r="A20" s="19" t="s">
        <v>0</v>
      </c>
      <c r="B20" s="19" t="s">
        <v>1</v>
      </c>
      <c r="C20" s="19" t="s">
        <v>54</v>
      </c>
      <c r="D20" s="19" t="s">
        <v>55</v>
      </c>
      <c r="E20" s="19" t="s">
        <v>56</v>
      </c>
    </row>
    <row r="21" spans="1:5" ht="15.75">
      <c r="A21" s="17">
        <v>1</v>
      </c>
      <c r="B21" s="133" t="s">
        <v>81</v>
      </c>
      <c r="C21" s="17">
        <v>4</v>
      </c>
      <c r="D21" s="17">
        <v>6</v>
      </c>
      <c r="E21" s="131">
        <f>C21/D21*100%</f>
        <v>0.66666666666666663</v>
      </c>
    </row>
    <row r="22" spans="1:5" ht="15.75">
      <c r="A22" s="17">
        <v>2</v>
      </c>
      <c r="B22" s="133" t="s">
        <v>82</v>
      </c>
      <c r="C22" s="17">
        <v>3</v>
      </c>
      <c r="D22" s="17">
        <v>4</v>
      </c>
      <c r="E22" s="131">
        <f>C22/D22*100%</f>
        <v>0.75</v>
      </c>
    </row>
    <row r="23" spans="1:5" ht="15.75">
      <c r="A23" s="17">
        <v>3</v>
      </c>
      <c r="B23" s="133" t="s">
        <v>83</v>
      </c>
      <c r="C23" s="17">
        <v>3</v>
      </c>
      <c r="D23" s="17">
        <v>6</v>
      </c>
      <c r="E23" s="131">
        <f t="shared" ref="E23:E25" si="1">C23/D23*100%</f>
        <v>0.5</v>
      </c>
    </row>
    <row r="24" spans="1:5" ht="15.75">
      <c r="A24" s="17">
        <v>4</v>
      </c>
      <c r="B24" s="133" t="s">
        <v>84</v>
      </c>
      <c r="C24" s="17">
        <v>2</v>
      </c>
      <c r="D24" s="17">
        <v>8</v>
      </c>
      <c r="E24" s="131">
        <f t="shared" si="1"/>
        <v>0.25</v>
      </c>
    </row>
    <row r="25" spans="1:5" ht="15.75">
      <c r="A25" s="17">
        <v>5</v>
      </c>
      <c r="B25" s="133" t="s">
        <v>85</v>
      </c>
      <c r="C25" s="17">
        <v>3</v>
      </c>
      <c r="D25" s="17">
        <v>8</v>
      </c>
      <c r="E25" s="131">
        <f t="shared" si="1"/>
        <v>0.375</v>
      </c>
    </row>
    <row r="26" spans="1:5" ht="15.75">
      <c r="A26" s="17">
        <v>6</v>
      </c>
      <c r="B26" s="133" t="s">
        <v>86</v>
      </c>
      <c r="C26" s="17">
        <v>1</v>
      </c>
      <c r="D26" s="17">
        <v>7</v>
      </c>
      <c r="E26" s="131">
        <f>C26/D26*100%</f>
        <v>0.14285714285714285</v>
      </c>
    </row>
    <row r="27" spans="1:5" ht="15.75">
      <c r="A27" s="17">
        <v>7</v>
      </c>
      <c r="B27" s="133" t="s">
        <v>87</v>
      </c>
      <c r="C27" s="17">
        <v>6</v>
      </c>
      <c r="D27" s="17">
        <v>12</v>
      </c>
      <c r="E27" s="131">
        <f t="shared" ref="E27:E30" si="2">C27/D27*100%</f>
        <v>0.5</v>
      </c>
    </row>
    <row r="28" spans="1:5" ht="15.75">
      <c r="A28" s="17">
        <v>8</v>
      </c>
      <c r="B28" s="133" t="s">
        <v>88</v>
      </c>
      <c r="C28" s="17">
        <v>3</v>
      </c>
      <c r="D28" s="17">
        <v>11</v>
      </c>
      <c r="E28" s="131">
        <f t="shared" si="2"/>
        <v>0.27272727272727271</v>
      </c>
    </row>
    <row r="29" spans="1:5" ht="15.75">
      <c r="A29" s="17">
        <v>9</v>
      </c>
      <c r="B29" s="133" t="s">
        <v>89</v>
      </c>
      <c r="C29" s="17">
        <v>0</v>
      </c>
      <c r="D29" s="17">
        <v>8</v>
      </c>
      <c r="E29" s="131">
        <f t="shared" si="2"/>
        <v>0</v>
      </c>
    </row>
    <row r="30" spans="1:5" ht="15.75">
      <c r="A30" s="17">
        <v>10</v>
      </c>
      <c r="B30" s="134" t="s">
        <v>90</v>
      </c>
      <c r="C30" s="17">
        <v>4</v>
      </c>
      <c r="D30" s="17">
        <v>6</v>
      </c>
      <c r="E30" s="131">
        <f t="shared" si="2"/>
        <v>0.66666666666666663</v>
      </c>
    </row>
    <row r="31" spans="1:5">
      <c r="D31" s="14" t="s">
        <v>57</v>
      </c>
      <c r="E31" s="20">
        <f>AVERAGE(E21:E30)</f>
        <v>0.41239177489177486</v>
      </c>
    </row>
  </sheetData>
  <mergeCells count="2">
    <mergeCell ref="A1:E1"/>
    <mergeCell ref="A19:E1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>
      <selection activeCell="E16" sqref="E16"/>
    </sheetView>
  </sheetViews>
  <sheetFormatPr defaultColWidth="8.7109375" defaultRowHeight="15"/>
  <cols>
    <col min="1" max="1" width="9.140625" style="14" customWidth="1"/>
    <col min="2" max="2" width="16.140625" style="14" customWidth="1"/>
    <col min="3" max="3" width="11.7109375" style="14" customWidth="1"/>
    <col min="4" max="4" width="12.140625" style="14" customWidth="1"/>
    <col min="5" max="5" width="13" style="14" customWidth="1"/>
    <col min="6" max="6" width="14.42578125" style="14" customWidth="1"/>
    <col min="7" max="7" width="14.140625" style="14" customWidth="1"/>
    <col min="8" max="8" width="11" style="14" customWidth="1"/>
    <col min="9" max="9" width="12.28515625" style="14" customWidth="1"/>
    <col min="10" max="16384" width="8.7109375" style="14"/>
  </cols>
  <sheetData>
    <row r="1" spans="1:10">
      <c r="A1" s="186" t="s">
        <v>79</v>
      </c>
      <c r="B1" s="186"/>
      <c r="C1" s="186"/>
      <c r="D1" s="186"/>
      <c r="E1" s="186"/>
      <c r="F1" s="186"/>
      <c r="G1" s="186"/>
      <c r="H1" s="119"/>
      <c r="I1" s="119"/>
      <c r="J1" s="119"/>
    </row>
    <row r="2" spans="1:10" ht="77.25" customHeight="1">
      <c r="A2" s="19" t="s">
        <v>0</v>
      </c>
      <c r="B2" s="19" t="s">
        <v>1</v>
      </c>
      <c r="C2" s="17" t="s">
        <v>78</v>
      </c>
      <c r="D2" s="17" t="s">
        <v>58</v>
      </c>
      <c r="E2" s="17" t="s">
        <v>59</v>
      </c>
      <c r="F2" s="108" t="s">
        <v>77</v>
      </c>
      <c r="G2" s="15" t="s">
        <v>76</v>
      </c>
    </row>
    <row r="3" spans="1:10">
      <c r="A3" s="17">
        <v>1</v>
      </c>
      <c r="B3" s="17" t="s">
        <v>7</v>
      </c>
      <c r="C3" s="17">
        <v>10</v>
      </c>
      <c r="D3" s="17">
        <v>10</v>
      </c>
      <c r="E3" s="17">
        <v>9</v>
      </c>
      <c r="F3" s="108">
        <v>9</v>
      </c>
      <c r="G3" s="110">
        <f>F3/C3</f>
        <v>0.9</v>
      </c>
    </row>
    <row r="4" spans="1:10">
      <c r="A4" s="17">
        <v>2</v>
      </c>
      <c r="B4" s="17" t="s">
        <v>8</v>
      </c>
      <c r="C4" s="17">
        <v>9</v>
      </c>
      <c r="D4" s="17">
        <v>8</v>
      </c>
      <c r="E4" s="17">
        <v>9</v>
      </c>
      <c r="F4" s="108">
        <v>9</v>
      </c>
      <c r="G4" s="110">
        <f t="shared" ref="G4:G12" si="0">F4/C4</f>
        <v>1</v>
      </c>
    </row>
    <row r="5" spans="1:10" ht="18.75" customHeight="1">
      <c r="A5" s="17">
        <v>3</v>
      </c>
      <c r="B5" s="17" t="s">
        <v>9</v>
      </c>
      <c r="C5" s="17">
        <v>7</v>
      </c>
      <c r="D5" s="17">
        <v>5</v>
      </c>
      <c r="E5" s="17">
        <v>6</v>
      </c>
      <c r="F5" s="108">
        <v>5</v>
      </c>
      <c r="G5" s="110">
        <f t="shared" si="0"/>
        <v>0.7142857142857143</v>
      </c>
    </row>
    <row r="6" spans="1:10">
      <c r="A6" s="17">
        <v>4</v>
      </c>
      <c r="B6" s="17" t="s">
        <v>10</v>
      </c>
      <c r="C6" s="17">
        <v>4</v>
      </c>
      <c r="D6" s="17">
        <v>2</v>
      </c>
      <c r="E6" s="17">
        <v>2</v>
      </c>
      <c r="F6" s="108">
        <v>3</v>
      </c>
      <c r="G6" s="110">
        <f>F6/C6</f>
        <v>0.75</v>
      </c>
    </row>
    <row r="7" spans="1:10">
      <c r="A7" s="17">
        <v>5</v>
      </c>
      <c r="B7" s="17" t="s">
        <v>11</v>
      </c>
      <c r="C7" s="17">
        <v>9</v>
      </c>
      <c r="D7" s="17">
        <v>6</v>
      </c>
      <c r="E7" s="17">
        <v>6</v>
      </c>
      <c r="F7" s="108">
        <v>6</v>
      </c>
      <c r="G7" s="110">
        <f t="shared" si="0"/>
        <v>0.66666666666666663</v>
      </c>
    </row>
    <row r="8" spans="1:10">
      <c r="A8" s="17">
        <v>6</v>
      </c>
      <c r="B8" s="17" t="s">
        <v>12</v>
      </c>
      <c r="C8" s="17">
        <v>6</v>
      </c>
      <c r="D8" s="17">
        <v>5</v>
      </c>
      <c r="E8" s="17">
        <v>4</v>
      </c>
      <c r="F8" s="108">
        <v>3</v>
      </c>
      <c r="G8" s="110">
        <f t="shared" si="0"/>
        <v>0.5</v>
      </c>
    </row>
    <row r="9" spans="1:10">
      <c r="A9" s="17">
        <v>7</v>
      </c>
      <c r="B9" s="17" t="s">
        <v>13</v>
      </c>
      <c r="C9" s="17">
        <v>8</v>
      </c>
      <c r="D9" s="17">
        <v>6</v>
      </c>
      <c r="E9" s="17">
        <v>6</v>
      </c>
      <c r="F9" s="108">
        <v>4</v>
      </c>
      <c r="G9" s="110">
        <f t="shared" si="0"/>
        <v>0.5</v>
      </c>
    </row>
    <row r="10" spans="1:10">
      <c r="A10" s="17">
        <v>8</v>
      </c>
      <c r="B10" s="17" t="s">
        <v>14</v>
      </c>
      <c r="C10" s="17">
        <v>7</v>
      </c>
      <c r="D10" s="17">
        <v>6</v>
      </c>
      <c r="E10" s="17">
        <v>5</v>
      </c>
      <c r="F10" s="108">
        <v>4</v>
      </c>
      <c r="G10" s="110">
        <f t="shared" si="0"/>
        <v>0.5714285714285714</v>
      </c>
    </row>
    <row r="11" spans="1:10">
      <c r="A11" s="17">
        <v>9</v>
      </c>
      <c r="B11" s="17" t="s">
        <v>15</v>
      </c>
      <c r="C11" s="17">
        <v>7</v>
      </c>
      <c r="D11" s="17">
        <v>6</v>
      </c>
      <c r="E11" s="17">
        <v>5</v>
      </c>
      <c r="F11" s="108">
        <v>5</v>
      </c>
      <c r="G11" s="110">
        <f t="shared" si="0"/>
        <v>0.7142857142857143</v>
      </c>
    </row>
    <row r="12" spans="1:10">
      <c r="A12" s="17">
        <v>10</v>
      </c>
      <c r="B12" s="17" t="s">
        <v>16</v>
      </c>
      <c r="C12" s="17">
        <v>13</v>
      </c>
      <c r="D12" s="17">
        <v>11</v>
      </c>
      <c r="E12" s="17">
        <v>10</v>
      </c>
      <c r="F12" s="108">
        <v>9</v>
      </c>
      <c r="G12" s="110">
        <f t="shared" si="0"/>
        <v>0.69230769230769229</v>
      </c>
    </row>
    <row r="13" spans="1:10" ht="30">
      <c r="F13" s="14" t="s">
        <v>101</v>
      </c>
      <c r="G13" s="145">
        <f>AVERAGE(G3:G12)</f>
        <v>0.70089743589743592</v>
      </c>
    </row>
    <row r="24" spans="1:7">
      <c r="A24" s="186" t="s">
        <v>80</v>
      </c>
      <c r="B24" s="186"/>
      <c r="C24" s="186"/>
      <c r="D24" s="186"/>
      <c r="E24" s="186"/>
      <c r="F24" s="186"/>
      <c r="G24" s="186"/>
    </row>
    <row r="25" spans="1:7" ht="60">
      <c r="A25" s="19" t="s">
        <v>0</v>
      </c>
      <c r="B25" s="19" t="s">
        <v>1</v>
      </c>
      <c r="C25" s="17" t="s">
        <v>78</v>
      </c>
      <c r="D25" s="17" t="s">
        <v>58</v>
      </c>
      <c r="E25" s="17" t="s">
        <v>59</v>
      </c>
      <c r="F25" s="108" t="s">
        <v>77</v>
      </c>
      <c r="G25" s="15" t="s">
        <v>76</v>
      </c>
    </row>
    <row r="26" spans="1:7" ht="15.75">
      <c r="A26" s="17">
        <v>1</v>
      </c>
      <c r="B26" s="133" t="s">
        <v>81</v>
      </c>
      <c r="C26" s="17">
        <v>7</v>
      </c>
      <c r="D26" s="17">
        <v>7</v>
      </c>
      <c r="E26" s="17">
        <v>6</v>
      </c>
      <c r="F26" s="108">
        <v>5</v>
      </c>
      <c r="G26" s="110">
        <f>F26/C26</f>
        <v>0.7142857142857143</v>
      </c>
    </row>
    <row r="27" spans="1:7" ht="15.75">
      <c r="A27" s="17">
        <v>2</v>
      </c>
      <c r="B27" s="133" t="s">
        <v>82</v>
      </c>
      <c r="C27" s="17">
        <v>4</v>
      </c>
      <c r="D27" s="17">
        <v>4</v>
      </c>
      <c r="E27" s="17">
        <v>3</v>
      </c>
      <c r="F27" s="108">
        <v>4</v>
      </c>
      <c r="G27" s="110">
        <f t="shared" ref="G27:G28" si="1">F27/C27</f>
        <v>1</v>
      </c>
    </row>
    <row r="28" spans="1:7" ht="15.75">
      <c r="A28" s="17">
        <v>3</v>
      </c>
      <c r="B28" s="133" t="s">
        <v>83</v>
      </c>
      <c r="C28" s="17">
        <v>8</v>
      </c>
      <c r="D28" s="17">
        <v>9</v>
      </c>
      <c r="E28" s="17">
        <v>6</v>
      </c>
      <c r="F28" s="108">
        <v>4</v>
      </c>
      <c r="G28" s="110">
        <f t="shared" si="1"/>
        <v>0.5</v>
      </c>
    </row>
    <row r="29" spans="1:7" ht="15.75">
      <c r="A29" s="17">
        <v>4</v>
      </c>
      <c r="B29" s="133" t="s">
        <v>84</v>
      </c>
      <c r="C29" s="17">
        <v>7</v>
      </c>
      <c r="D29" s="17">
        <v>4</v>
      </c>
      <c r="E29" s="17">
        <v>4</v>
      </c>
      <c r="F29" s="108">
        <v>3</v>
      </c>
      <c r="G29" s="110">
        <f>F29/C29</f>
        <v>0.42857142857142855</v>
      </c>
    </row>
    <row r="30" spans="1:7" ht="15.75">
      <c r="A30" s="17">
        <v>5</v>
      </c>
      <c r="B30" s="133" t="s">
        <v>85</v>
      </c>
      <c r="C30" s="17">
        <v>9</v>
      </c>
      <c r="D30" s="17">
        <v>10</v>
      </c>
      <c r="E30" s="17">
        <v>6</v>
      </c>
      <c r="F30" s="108">
        <v>6</v>
      </c>
      <c r="G30" s="110">
        <f t="shared" ref="G30:G35" si="2">F30/C30</f>
        <v>0.66666666666666663</v>
      </c>
    </row>
    <row r="31" spans="1:7" ht="15.75">
      <c r="A31" s="17">
        <v>6</v>
      </c>
      <c r="B31" s="133" t="s">
        <v>86</v>
      </c>
      <c r="C31" s="17">
        <v>6</v>
      </c>
      <c r="D31" s="17">
        <v>6</v>
      </c>
      <c r="E31" s="17">
        <v>5</v>
      </c>
      <c r="F31" s="108">
        <v>3</v>
      </c>
      <c r="G31" s="110">
        <f t="shared" si="2"/>
        <v>0.5</v>
      </c>
    </row>
    <row r="32" spans="1:7" ht="15.75">
      <c r="A32" s="17">
        <v>7</v>
      </c>
      <c r="B32" s="133" t="s">
        <v>87</v>
      </c>
      <c r="C32" s="17">
        <v>8</v>
      </c>
      <c r="D32" s="17">
        <v>9</v>
      </c>
      <c r="E32" s="17">
        <v>6</v>
      </c>
      <c r="F32" s="108">
        <v>7</v>
      </c>
      <c r="G32" s="110">
        <f t="shared" si="2"/>
        <v>0.875</v>
      </c>
    </row>
    <row r="33" spans="1:7" ht="15.75">
      <c r="A33" s="17">
        <v>8</v>
      </c>
      <c r="B33" s="133" t="s">
        <v>88</v>
      </c>
      <c r="C33" s="17">
        <v>7</v>
      </c>
      <c r="D33" s="17">
        <v>6</v>
      </c>
      <c r="E33" s="17">
        <v>5</v>
      </c>
      <c r="F33" s="108">
        <v>4</v>
      </c>
      <c r="G33" s="110">
        <f t="shared" si="2"/>
        <v>0.5714285714285714</v>
      </c>
    </row>
    <row r="34" spans="1:7" ht="15.75">
      <c r="A34" s="17">
        <v>9</v>
      </c>
      <c r="B34" s="133" t="s">
        <v>89</v>
      </c>
      <c r="C34" s="17">
        <v>10</v>
      </c>
      <c r="D34" s="17">
        <v>9</v>
      </c>
      <c r="E34" s="17">
        <v>8</v>
      </c>
      <c r="F34" s="108">
        <v>6</v>
      </c>
      <c r="G34" s="110">
        <f t="shared" si="2"/>
        <v>0.6</v>
      </c>
    </row>
    <row r="35" spans="1:7" ht="15.75">
      <c r="A35" s="17">
        <v>10</v>
      </c>
      <c r="B35" s="134" t="s">
        <v>90</v>
      </c>
      <c r="C35" s="17">
        <v>12</v>
      </c>
      <c r="D35" s="17">
        <v>11</v>
      </c>
      <c r="E35" s="17">
        <v>8</v>
      </c>
      <c r="F35" s="108">
        <v>7</v>
      </c>
      <c r="G35" s="110">
        <f t="shared" si="2"/>
        <v>0.58333333333333337</v>
      </c>
    </row>
    <row r="36" spans="1:7" ht="30">
      <c r="F36" s="14" t="s">
        <v>101</v>
      </c>
      <c r="G36" s="145">
        <f>AVERAGE(G26:G35)</f>
        <v>0.64392857142857129</v>
      </c>
    </row>
  </sheetData>
  <mergeCells count="2">
    <mergeCell ref="A1:G1"/>
    <mergeCell ref="A24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Summ</vt:lpstr>
      <vt:lpstr>общая сводка</vt:lpstr>
      <vt:lpstr>экономичность (иппон-сейо-нагэ)</vt:lpstr>
      <vt:lpstr>экономичность (суми-гаэши)</vt:lpstr>
      <vt:lpstr>экономичность (кеса-гатамэ)</vt:lpstr>
      <vt:lpstr>вариативность (броски)</vt:lpstr>
      <vt:lpstr>вариативность (удержания)</vt:lpstr>
      <vt:lpstr>эффективность</vt:lpstr>
      <vt:lpstr>стабильность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</dc:creator>
  <cp:lastModifiedBy>1</cp:lastModifiedBy>
  <dcterms:created xsi:type="dcterms:W3CDTF">2015-06-05T18:19:34Z</dcterms:created>
  <dcterms:modified xsi:type="dcterms:W3CDTF">2025-12-10T14:38:22Z</dcterms:modified>
</cp:coreProperties>
</file>